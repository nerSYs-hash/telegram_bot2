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ot_2\telegram_bot2\"/>
    </mc:Choice>
  </mc:AlternateContent>
  <xr:revisionPtr revIDLastSave="0" documentId="13_ncr:1_{C64D7D62-C1D1-4D3F-A15D-568159B7F037}" xr6:coauthVersionLast="47" xr6:coauthVersionMax="47" xr10:uidLastSave="{00000000-0000-0000-0000-000000000000}"/>
  <bookViews>
    <workbookView xWindow="-96" yWindow="0" windowWidth="11712" windowHeight="12336" tabRatio="536" xr2:uid="{00000000-000D-0000-FFFF-FFFF00000000}"/>
  </bookViews>
  <sheets>
    <sheet name="Настройки (Коэффициенты)" sheetId="1" r:id="rId1"/>
    <sheet name="Симулятор пользовател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" l="1"/>
  <c r="I25" i="2"/>
  <c r="G25" i="2"/>
  <c r="E25" i="2"/>
  <c r="K24" i="2"/>
  <c r="I24" i="2"/>
  <c r="G24" i="2"/>
  <c r="E24" i="2"/>
  <c r="G23" i="2"/>
  <c r="E23" i="2"/>
  <c r="G22" i="2"/>
  <c r="E22" i="2"/>
  <c r="K21" i="2"/>
  <c r="I21" i="2"/>
  <c r="G21" i="2"/>
  <c r="E21" i="2"/>
  <c r="K20" i="2"/>
  <c r="I20" i="2"/>
  <c r="G20" i="2"/>
  <c r="E20" i="2"/>
  <c r="K19" i="2"/>
  <c r="I19" i="2"/>
  <c r="K18" i="2"/>
  <c r="I18" i="2"/>
  <c r="G17" i="2"/>
  <c r="E17" i="2"/>
  <c r="C17" i="2"/>
  <c r="A17" i="2"/>
  <c r="G16" i="2"/>
  <c r="E16" i="2"/>
  <c r="K15" i="2"/>
  <c r="I15" i="2"/>
  <c r="G15" i="2"/>
  <c r="E15" i="2"/>
  <c r="K14" i="2"/>
  <c r="I14" i="2"/>
  <c r="C14" i="2"/>
  <c r="A14" i="2"/>
  <c r="K13" i="2"/>
  <c r="I13" i="2"/>
  <c r="C13" i="2"/>
  <c r="A13" i="2"/>
  <c r="K12" i="2"/>
  <c r="I12" i="2"/>
  <c r="G12" i="2"/>
  <c r="E12" i="2"/>
  <c r="G11" i="2"/>
  <c r="E11" i="2"/>
  <c r="G10" i="2"/>
  <c r="E10" i="2"/>
  <c r="C10" i="2"/>
  <c r="A10" i="2"/>
  <c r="K9" i="2"/>
  <c r="I9" i="2"/>
  <c r="G9" i="2"/>
  <c r="E9" i="2"/>
  <c r="K8" i="2"/>
  <c r="I8" i="2"/>
  <c r="G8" i="2"/>
  <c r="E8" i="2"/>
  <c r="K7" i="2"/>
  <c r="I7" i="2"/>
  <c r="G7" i="2"/>
  <c r="E7" i="2"/>
  <c r="C7" i="2"/>
  <c r="A7" i="2"/>
  <c r="K6" i="2"/>
  <c r="I6" i="2"/>
  <c r="G6" i="2"/>
  <c r="E6" i="2"/>
  <c r="C6" i="2"/>
  <c r="A6" i="2"/>
  <c r="N5" i="2" l="1"/>
  <c r="N4" i="2"/>
  <c r="N3" i="2"/>
  <c r="C1" i="2" l="1"/>
</calcChain>
</file>

<file path=xl/sharedStrings.xml><?xml version="1.0" encoding="utf-8"?>
<sst xmlns="http://schemas.openxmlformats.org/spreadsheetml/2006/main" count="94" uniqueCount="59">
  <si>
    <t>ГЛОБАЛЬНАЯ БАЗА (1x) =</t>
  </si>
  <si>
    <t>💎 Пульсов</t>
  </si>
  <si>
    <t>📝 ТЕКСТ И ОБЩЕНИЕ</t>
  </si>
  <si>
    <t>Коэф. (x)</t>
  </si>
  <si>
    <t>📷 МЕДИА И ВЛОЖЕНИЯ</t>
  </si>
  <si>
    <t>🤝 СОЦИУМ И РЕАКЦИИ</t>
  </si>
  <si>
    <t>🔹 БАЗА</t>
  </si>
  <si>
    <t>Текст (сообщение)</t>
  </si>
  <si>
    <t>Ответ (ты ответил)</t>
  </si>
  <si>
    <t>Эмодзи (без текста)</t>
  </si>
  <si>
    <t>Ответ (тебе ответили)</t>
  </si>
  <si>
    <t>🔥 КОМБО</t>
  </si>
  <si>
    <t>Лайк (тебе поставили)</t>
  </si>
  <si>
    <t>Писатель (&gt; 50 симв)</t>
  </si>
  <si>
    <t>🚀 СПРИНТЫ</t>
  </si>
  <si>
    <t>Острый язычок (&gt;2 репостов)</t>
  </si>
  <si>
    <t>Основа чата (10 сообщ)</t>
  </si>
  <si>
    <t>Эмоциональный (10 эмодзи)</t>
  </si>
  <si>
    <t>Иллюстратор (Текст+Фото)</t>
  </si>
  <si>
    <t>⛔ ШТРАФЫ</t>
  </si>
  <si>
    <t>Рецензент (Видео+Текст)</t>
  </si>
  <si>
    <t>Копипаст</t>
  </si>
  <si>
    <t>Диджей (Плейлист)</t>
  </si>
  <si>
    <t>Болтун (20 твоих ответов)</t>
  </si>
  <si>
    <t>Центр (20 ответов тебе)</t>
  </si>
  <si>
    <t>Фотограф (3+ фото)</t>
  </si>
  <si>
    <t>Режиссер (2 видео)</t>
  </si>
  <si>
    <t>Любимчик (10 лайков тебе)</t>
  </si>
  <si>
    <t>Лицом торгуешь (5 кружков)</t>
  </si>
  <si>
    <t>Меломан (5 треков)</t>
  </si>
  <si>
    <t>Радио (4 войса)</t>
  </si>
  <si>
    <t>Не в ту дверь (Нарушение)</t>
  </si>
  <si>
    <t>Гифошная (10 гиф)</t>
  </si>
  <si>
    <t>Удаление (Токсик)</t>
  </si>
  <si>
    <t>ИТОГО ЗА ДЕНЬ:</t>
  </si>
  <si>
    <t>Сектор</t>
  </si>
  <si>
    <t>Заработано</t>
  </si>
  <si>
    <t>Текст</t>
  </si>
  <si>
    <t>Кол-во</t>
  </si>
  <si>
    <t>💎 Итого</t>
  </si>
  <si>
    <t>Медиа</t>
  </si>
  <si>
    <t>Социум</t>
  </si>
  <si>
    <t>user: Rich</t>
  </si>
  <si>
    <t>Видео кружок ( не считывается )</t>
  </si>
  <si>
    <t>Голосовое (Voice)( +)</t>
  </si>
  <si>
    <t>Фото(+)</t>
  </si>
  <si>
    <t>Аудио / Ссылка ( не определяется )/(+)</t>
  </si>
  <si>
    <t>GIF-анимация(+)</t>
  </si>
  <si>
    <t>Видео обычное(+)</t>
  </si>
  <si>
    <t>Фото (2+ в спец. ветке)(+)</t>
  </si>
  <si>
    <t>Хит (4 лайка)(+)</t>
  </si>
  <si>
    <t>Лайк (ты поставил)(+)</t>
  </si>
  <si>
    <t>Легенда (6+ лайков)(+)</t>
  </si>
  <si>
    <t>Вирусный пост (&gt;2 лайков)(+)</t>
  </si>
  <si>
    <t>Щедрая душа (5 лайков)(+)</t>
  </si>
  <si>
    <t>24 Ч</t>
  </si>
  <si>
    <t>24Ч</t>
  </si>
  <si>
    <t>12Ч</t>
  </si>
  <si>
    <t>1Ч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</si>
</sst>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\ \_xd83d_\_xdc8e_"/>
  </numFmts>
  <fonts count="10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4"/>
      <color rgb="FFE74C3C"/>
      <name val="Calibri"/>
    </font>
    <font>
      <b/>
      <sz val="11"/>
      <color rgb="FFFFFFFF"/>
      <name val="Calibri"/>
    </font>
    <font>
      <b/>
      <i/>
      <sz val="11"/>
      <color rgb="FF2C3E50"/>
      <name val="Calibri"/>
    </font>
    <font>
      <b/>
      <sz val="16"/>
      <name val="Calibri"/>
    </font>
    <font>
      <b/>
      <sz val="20"/>
      <color rgb="FF27AE60"/>
      <name val="Calibri"/>
    </font>
    <font>
      <b/>
      <sz val="11"/>
      <color rgb="FF2C3E50"/>
      <name val="Calibri"/>
    </font>
    <font>
      <b/>
      <sz val="11"/>
      <name val="Calibri"/>
    </font>
    <font>
      <b/>
      <sz val="2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E5E7E9"/>
      </patternFill>
    </fill>
    <fill>
      <patternFill patternType="solid">
        <fgColor rgb="FF8E44AD"/>
      </patternFill>
    </fill>
    <fill>
      <patternFill patternType="solid">
        <fgColor rgb="FFD354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2" fillId="0" borderId="0" xfId="0" applyNumberFormat="1" applyFont="1"/>
    <xf numFmtId="0" fontId="1" fillId="0" borderId="0" xfId="0" applyFont="1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8" fillId="0" borderId="0" xfId="0" applyFont="1"/>
    <xf numFmtId="164" fontId="0" fillId="0" borderId="0" xfId="0" applyNumberFormat="1"/>
    <xf numFmtId="0" fontId="0" fillId="6" borderId="1" xfId="0" applyFill="1" applyBorder="1" applyAlignment="1">
      <alignment horizontal="center" vertical="center"/>
    </xf>
    <xf numFmtId="164" fontId="7" fillId="0" borderId="1" xfId="0" applyNumberFormat="1" applyFont="1" applyBorder="1"/>
    <xf numFmtId="0" fontId="9" fillId="0" borderId="0" xfId="0" applyFont="1"/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right"/>
    </xf>
    <xf numFmtId="0" fontId="0" fillId="0" borderId="0" xfId="0"/>
    <xf numFmtId="165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Источники дохода 💎</a:t>
            </a:r>
          </a:p>
        </c:rich>
      </c:tx>
      <c:layout>
        <c:manualLayout>
          <c:xMode val="edge"/>
          <c:yMode val="edge"/>
          <c:x val="7.6953855008546665E-2"/>
          <c:y val="2.544529262086513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'Симулятор пользователя'!$N$2</c:f>
              <c:strCache>
                <c:ptCount val="1"/>
                <c:pt idx="0">
                  <c:v>Заработано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'Симулятор пользователя'!$M$3:$M$5</c:f>
              <c:strCache>
                <c:ptCount val="3"/>
                <c:pt idx="0">
                  <c:v>Текст</c:v>
                </c:pt>
                <c:pt idx="1">
                  <c:v>Медиа</c:v>
                </c:pt>
                <c:pt idx="2">
                  <c:v>Социум</c:v>
                </c:pt>
              </c:strCache>
            </c:strRef>
          </c:cat>
          <c:val>
            <c:numRef>
              <c:f>'Симулятор пользователя'!$N$3:$N$5</c:f>
              <c:numCache>
                <c:formatCode>0.000</c:formatCode>
                <c:ptCount val="3"/>
                <c:pt idx="0">
                  <c:v>2.1100000000000003</c:v>
                </c:pt>
                <c:pt idx="1">
                  <c:v>0.14400000000000002</c:v>
                </c:pt>
                <c:pt idx="2">
                  <c:v>10.128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4-4399-AB30-7447AB4D5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6</xdr:row>
      <xdr:rowOff>0</xdr:rowOff>
    </xdr:from>
    <xdr:ext cx="5768340" cy="29946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E1" workbookViewId="0">
      <selection activeCell="I24" sqref="I24"/>
    </sheetView>
  </sheetViews>
  <sheetFormatPr defaultRowHeight="14.4" x14ac:dyDescent="0.3"/>
  <cols>
    <col min="1" max="1" width="35" customWidth="1"/>
    <col min="2" max="2" width="12" customWidth="1"/>
    <col min="3" max="3" width="3" customWidth="1"/>
    <col min="5" max="5" width="35" customWidth="1"/>
    <col min="6" max="6" width="12" customWidth="1"/>
    <col min="7" max="7" width="3" customWidth="1"/>
    <col min="9" max="9" width="35" customWidth="1"/>
    <col min="10" max="10" width="12" customWidth="1"/>
    <col min="11" max="11" width="3" customWidth="1"/>
  </cols>
  <sheetData>
    <row r="1" spans="1:10" ht="18" x14ac:dyDescent="0.35">
      <c r="A1" s="16" t="s">
        <v>0</v>
      </c>
      <c r="B1" s="17"/>
      <c r="C1" s="17"/>
      <c r="D1" s="1">
        <v>2E-3</v>
      </c>
      <c r="E1" s="2" t="s">
        <v>1</v>
      </c>
    </row>
    <row r="3" spans="1:10" x14ac:dyDescent="0.3">
      <c r="A3" s="3" t="s">
        <v>2</v>
      </c>
      <c r="B3" s="3" t="s">
        <v>3</v>
      </c>
      <c r="E3" s="4" t="s">
        <v>4</v>
      </c>
      <c r="F3" s="4" t="s">
        <v>3</v>
      </c>
      <c r="I3" s="5" t="s">
        <v>5</v>
      </c>
      <c r="J3" s="5" t="s">
        <v>3</v>
      </c>
    </row>
    <row r="4" spans="1:10" x14ac:dyDescent="0.3">
      <c r="A4" s="14" t="s">
        <v>6</v>
      </c>
      <c r="B4" s="15"/>
      <c r="E4" s="14" t="s">
        <v>6</v>
      </c>
      <c r="F4" s="15"/>
      <c r="I4" s="14" t="s">
        <v>6</v>
      </c>
      <c r="J4" s="15"/>
    </row>
    <row r="5" spans="1:10" x14ac:dyDescent="0.3">
      <c r="A5" s="6" t="s">
        <v>7</v>
      </c>
      <c r="B5" s="7">
        <v>1</v>
      </c>
      <c r="E5" s="6" t="s">
        <v>45</v>
      </c>
      <c r="F5" s="7">
        <v>6</v>
      </c>
      <c r="I5" s="6" t="s">
        <v>8</v>
      </c>
      <c r="J5" s="7">
        <v>1</v>
      </c>
    </row>
    <row r="6" spans="1:10" x14ac:dyDescent="0.3">
      <c r="A6" s="6" t="s">
        <v>9</v>
      </c>
      <c r="B6" s="7">
        <v>1</v>
      </c>
      <c r="E6" s="6" t="s">
        <v>49</v>
      </c>
      <c r="F6" s="7">
        <v>2</v>
      </c>
      <c r="I6" s="6" t="s">
        <v>10</v>
      </c>
      <c r="J6" s="7">
        <v>1</v>
      </c>
    </row>
    <row r="7" spans="1:10" x14ac:dyDescent="0.3">
      <c r="E7" s="6" t="s">
        <v>48</v>
      </c>
      <c r="F7" s="7">
        <v>5</v>
      </c>
      <c r="I7" s="6" t="s">
        <v>51</v>
      </c>
      <c r="J7" s="7">
        <v>1</v>
      </c>
    </row>
    <row r="8" spans="1:10" x14ac:dyDescent="0.3">
      <c r="A8" s="14" t="s">
        <v>11</v>
      </c>
      <c r="B8" s="15"/>
      <c r="E8" s="6" t="s">
        <v>43</v>
      </c>
      <c r="F8" s="7">
        <v>7</v>
      </c>
      <c r="I8" s="6" t="s">
        <v>12</v>
      </c>
      <c r="J8" s="7">
        <v>2</v>
      </c>
    </row>
    <row r="9" spans="1:10" x14ac:dyDescent="0.3">
      <c r="A9" s="6" t="s">
        <v>13</v>
      </c>
      <c r="B9" s="7">
        <v>20</v>
      </c>
      <c r="E9" s="6" t="s">
        <v>46</v>
      </c>
      <c r="F9" s="7">
        <v>2</v>
      </c>
    </row>
    <row r="10" spans="1:10" x14ac:dyDescent="0.3">
      <c r="E10" s="6" t="s">
        <v>44</v>
      </c>
      <c r="F10" s="7">
        <v>3</v>
      </c>
      <c r="I10" s="14" t="s">
        <v>11</v>
      </c>
      <c r="J10" s="15"/>
    </row>
    <row r="11" spans="1:10" x14ac:dyDescent="0.3">
      <c r="A11" s="14" t="s">
        <v>14</v>
      </c>
      <c r="B11" s="15"/>
      <c r="E11" s="6" t="s">
        <v>47</v>
      </c>
      <c r="F11" s="7">
        <v>1</v>
      </c>
      <c r="I11" s="6" t="s">
        <v>15</v>
      </c>
      <c r="J11" s="7">
        <v>6</v>
      </c>
    </row>
    <row r="12" spans="1:10" x14ac:dyDescent="0.3">
      <c r="A12" s="6" t="s">
        <v>16</v>
      </c>
      <c r="B12" s="7">
        <v>50</v>
      </c>
      <c r="C12" t="s">
        <v>55</v>
      </c>
      <c r="I12" s="6" t="s">
        <v>53</v>
      </c>
      <c r="J12" s="7">
        <v>3</v>
      </c>
    </row>
    <row r="13" spans="1:10" x14ac:dyDescent="0.3">
      <c r="A13" s="6" t="s">
        <v>17</v>
      </c>
      <c r="B13" s="7">
        <v>20</v>
      </c>
      <c r="C13" t="s">
        <v>55</v>
      </c>
      <c r="E13" s="14" t="s">
        <v>11</v>
      </c>
      <c r="F13" s="15"/>
      <c r="I13" s="6" t="s">
        <v>50</v>
      </c>
      <c r="J13" s="7">
        <v>10</v>
      </c>
    </row>
    <row r="14" spans="1:10" x14ac:dyDescent="0.3">
      <c r="E14" s="6" t="s">
        <v>18</v>
      </c>
      <c r="F14" s="7">
        <v>40</v>
      </c>
      <c r="I14" s="6" t="s">
        <v>52</v>
      </c>
      <c r="J14" s="7">
        <v>20</v>
      </c>
    </row>
    <row r="15" spans="1:10" x14ac:dyDescent="0.3">
      <c r="A15" s="14" t="s">
        <v>19</v>
      </c>
      <c r="B15" s="15"/>
      <c r="E15" s="6" t="s">
        <v>20</v>
      </c>
      <c r="F15" s="7">
        <v>40</v>
      </c>
    </row>
    <row r="16" spans="1:10" x14ac:dyDescent="0.3">
      <c r="A16" s="6" t="s">
        <v>21</v>
      </c>
      <c r="B16" s="7">
        <v>-50</v>
      </c>
      <c r="E16" s="6" t="s">
        <v>22</v>
      </c>
      <c r="F16" s="7">
        <v>30</v>
      </c>
      <c r="I16" s="14" t="s">
        <v>14</v>
      </c>
      <c r="J16" s="15"/>
    </row>
    <row r="17" spans="4:10" x14ac:dyDescent="0.3">
      <c r="H17" t="s">
        <v>58</v>
      </c>
      <c r="I17" s="6" t="s">
        <v>23</v>
      </c>
      <c r="J17" s="7">
        <v>40</v>
      </c>
    </row>
    <row r="18" spans="4:10" x14ac:dyDescent="0.3">
      <c r="E18" s="14" t="s">
        <v>14</v>
      </c>
      <c r="F18" s="15"/>
      <c r="H18" t="s">
        <v>57</v>
      </c>
      <c r="I18" s="6" t="s">
        <v>24</v>
      </c>
      <c r="J18" s="7">
        <v>50</v>
      </c>
    </row>
    <row r="19" spans="4:10" x14ac:dyDescent="0.3">
      <c r="D19" t="s">
        <v>56</v>
      </c>
      <c r="E19" s="6" t="s">
        <v>25</v>
      </c>
      <c r="F19" s="7">
        <v>40</v>
      </c>
      <c r="H19" t="s">
        <v>58</v>
      </c>
      <c r="I19" s="6" t="s">
        <v>54</v>
      </c>
      <c r="J19" s="7">
        <v>20</v>
      </c>
    </row>
    <row r="20" spans="4:10" x14ac:dyDescent="0.3">
      <c r="D20" t="s">
        <v>56</v>
      </c>
      <c r="E20" s="6" t="s">
        <v>26</v>
      </c>
      <c r="F20" s="7">
        <v>140</v>
      </c>
      <c r="H20" t="s">
        <v>58</v>
      </c>
      <c r="I20" s="6" t="s">
        <v>27</v>
      </c>
      <c r="J20" s="7">
        <v>40</v>
      </c>
    </row>
    <row r="21" spans="4:10" x14ac:dyDescent="0.3">
      <c r="D21" t="s">
        <v>57</v>
      </c>
      <c r="E21" s="6" t="s">
        <v>28</v>
      </c>
      <c r="F21" s="7">
        <v>60</v>
      </c>
    </row>
    <row r="22" spans="4:10" x14ac:dyDescent="0.3">
      <c r="D22" t="s">
        <v>56</v>
      </c>
      <c r="E22" s="6" t="s">
        <v>29</v>
      </c>
      <c r="F22" s="7">
        <v>120</v>
      </c>
      <c r="I22" s="14" t="s">
        <v>19</v>
      </c>
      <c r="J22" s="15"/>
    </row>
    <row r="23" spans="4:10" x14ac:dyDescent="0.3">
      <c r="D23" s="13" t="s">
        <v>58</v>
      </c>
      <c r="E23" s="6" t="s">
        <v>30</v>
      </c>
      <c r="F23" s="7">
        <v>20</v>
      </c>
      <c r="I23" s="6" t="s">
        <v>31</v>
      </c>
      <c r="J23" s="7">
        <v>-50</v>
      </c>
    </row>
    <row r="24" spans="4:10" x14ac:dyDescent="0.3">
      <c r="D24" t="s">
        <v>58</v>
      </c>
      <c r="E24" s="6" t="s">
        <v>32</v>
      </c>
      <c r="F24" s="7">
        <v>30</v>
      </c>
      <c r="I24" s="6" t="s">
        <v>33</v>
      </c>
      <c r="J24" s="7">
        <v>-100</v>
      </c>
    </row>
  </sheetData>
  <mergeCells count="12">
    <mergeCell ref="I22:J22"/>
    <mergeCell ref="A8:B8"/>
    <mergeCell ref="I16:J16"/>
    <mergeCell ref="E18:F18"/>
    <mergeCell ref="I10:J10"/>
    <mergeCell ref="A11:B11"/>
    <mergeCell ref="E13:F13"/>
    <mergeCell ref="A4:B4"/>
    <mergeCell ref="E4:F4"/>
    <mergeCell ref="I4:J4"/>
    <mergeCell ref="A15:B15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J19" sqref="J19"/>
    </sheetView>
  </sheetViews>
  <sheetFormatPr defaultRowHeight="14.4" x14ac:dyDescent="0.3"/>
  <cols>
    <col min="1" max="1" width="35" customWidth="1"/>
    <col min="2" max="2" width="10" customWidth="1"/>
    <col min="3" max="3" width="12" customWidth="1"/>
    <col min="5" max="5" width="35" customWidth="1"/>
    <col min="6" max="6" width="10" customWidth="1"/>
    <col min="7" max="7" width="12" customWidth="1"/>
    <col min="9" max="9" width="35" customWidth="1"/>
    <col min="10" max="10" width="10" customWidth="1"/>
    <col min="11" max="11" width="12" customWidth="1"/>
    <col min="13" max="14" width="15" customWidth="1"/>
  </cols>
  <sheetData>
    <row r="1" spans="1:14" x14ac:dyDescent="0.3">
      <c r="A1" s="19" t="s">
        <v>34</v>
      </c>
      <c r="B1" s="17"/>
      <c r="C1" s="18">
        <f>SUM(N3:N5)</f>
        <v>12.382000000000001</v>
      </c>
      <c r="D1" s="17"/>
    </row>
    <row r="2" spans="1:14" ht="31.2" x14ac:dyDescent="0.6">
      <c r="A2" s="17"/>
      <c r="B2" s="17"/>
      <c r="C2" s="17"/>
      <c r="D2" s="17"/>
      <c r="E2" s="12" t="s">
        <v>42</v>
      </c>
      <c r="M2" s="3" t="s">
        <v>35</v>
      </c>
      <c r="N2" s="3" t="s">
        <v>36</v>
      </c>
    </row>
    <row r="3" spans="1:14" x14ac:dyDescent="0.3">
      <c r="M3" s="8" t="s">
        <v>37</v>
      </c>
      <c r="N3" s="9">
        <f>SUM(C6,C7,C10,C13,C14,C17)</f>
        <v>2.1100000000000003</v>
      </c>
    </row>
    <row r="4" spans="1:14" x14ac:dyDescent="0.3">
      <c r="A4" s="3" t="s">
        <v>2</v>
      </c>
      <c r="B4" s="3" t="s">
        <v>38</v>
      </c>
      <c r="C4" s="3" t="s">
        <v>39</v>
      </c>
      <c r="E4" s="4" t="s">
        <v>4</v>
      </c>
      <c r="F4" s="4" t="s">
        <v>38</v>
      </c>
      <c r="G4" s="4" t="s">
        <v>39</v>
      </c>
      <c r="I4" s="5" t="s">
        <v>5</v>
      </c>
      <c r="J4" s="5" t="s">
        <v>38</v>
      </c>
      <c r="K4" s="5" t="s">
        <v>39</v>
      </c>
      <c r="M4" s="8" t="s">
        <v>40</v>
      </c>
      <c r="N4" s="9">
        <f>SUM(G6,G7,G8,G9,G10,G11,G12,G15,G16,G17,G20,G21,G22,G23,G24,G25)</f>
        <v>0.14400000000000002</v>
      </c>
    </row>
    <row r="5" spans="1:14" x14ac:dyDescent="0.3">
      <c r="A5" s="14" t="s">
        <v>6</v>
      </c>
      <c r="B5" s="15"/>
      <c r="C5" s="15"/>
      <c r="E5" s="14" t="s">
        <v>6</v>
      </c>
      <c r="F5" s="15"/>
      <c r="G5" s="15"/>
      <c r="I5" s="14" t="s">
        <v>6</v>
      </c>
      <c r="J5" s="15"/>
      <c r="K5" s="15"/>
      <c r="M5" s="8" t="s">
        <v>41</v>
      </c>
      <c r="N5" s="9">
        <f>SUM(K6,K7,K8,K9,K12,K13,K14,K15,K18,K19,K20,K21,K24,K25)</f>
        <v>10.128</v>
      </c>
    </row>
    <row r="6" spans="1:14" x14ac:dyDescent="0.3">
      <c r="A6" s="6" t="str">
        <f>'Настройки (Коэффициенты)'!A5</f>
        <v>Текст (сообщение)</v>
      </c>
      <c r="B6" s="10">
        <v>380</v>
      </c>
      <c r="C6" s="11">
        <f>B6 * 'Настройки (Коэффициенты)'!B5 * 'Настройки (Коэффициенты)'!$D$1</f>
        <v>0.76</v>
      </c>
      <c r="E6" s="6" t="str">
        <f>'Настройки (Коэффициенты)'!E5</f>
        <v>Фото(+)</v>
      </c>
      <c r="F6" s="10">
        <v>1</v>
      </c>
      <c r="G6" s="11">
        <f>F6 * 'Настройки (Коэффициенты)'!F5 * 'Настройки (Коэффициенты)'!$D$1</f>
        <v>1.2E-2</v>
      </c>
      <c r="I6" s="6" t="str">
        <f>'Настройки (Коэффициенты)'!I5</f>
        <v>Ответ (ты ответил)</v>
      </c>
      <c r="J6" s="10">
        <v>307</v>
      </c>
      <c r="K6" s="11">
        <f>J6 * 'Настройки (Коэффициенты)'!J5 * 'Настройки (Коэффициенты)'!$D$1</f>
        <v>0.61399999999999999</v>
      </c>
    </row>
    <row r="7" spans="1:14" x14ac:dyDescent="0.3">
      <c r="A7" s="6" t="str">
        <f>'Настройки (Коэффициенты)'!A6</f>
        <v>Эмодзи (без текста)</v>
      </c>
      <c r="B7" s="10">
        <v>75</v>
      </c>
      <c r="C7" s="11">
        <f>B7 * 'Настройки (Коэффициенты)'!B6 * 'Настройки (Коэффициенты)'!$D$1</f>
        <v>0.15</v>
      </c>
      <c r="E7" s="6" t="str">
        <f>'Настройки (Коэффициенты)'!E6</f>
        <v>Фото (2+ в спец. ветке)(+)</v>
      </c>
      <c r="F7" s="10">
        <v>0</v>
      </c>
      <c r="G7" s="11">
        <f>F7 * 'Настройки (Коэффициенты)'!F6 * 'Настройки (Коэффициенты)'!$D$1</f>
        <v>0</v>
      </c>
      <c r="I7" s="6" t="str">
        <f>'Настройки (Коэффициенты)'!I6</f>
        <v>Ответ (тебе ответили)</v>
      </c>
      <c r="J7" s="10">
        <v>323</v>
      </c>
      <c r="K7" s="11">
        <f>J7 * 'Настройки (Коэффициенты)'!J6 * 'Настройки (Коэффициенты)'!$D$1</f>
        <v>0.64600000000000002</v>
      </c>
    </row>
    <row r="8" spans="1:14" x14ac:dyDescent="0.3">
      <c r="E8" s="6" t="str">
        <f>'Настройки (Коэффициенты)'!E7</f>
        <v>Видео обычное(+)</v>
      </c>
      <c r="F8" s="10">
        <v>0</v>
      </c>
      <c r="G8" s="11">
        <f>F8 * 'Настройки (Коэффициенты)'!F7 * 'Настройки (Коэффициенты)'!$D$1</f>
        <v>0</v>
      </c>
      <c r="I8" s="6" t="str">
        <f>'Настройки (Коэффициенты)'!I7</f>
        <v>Лайк (ты поставил)(+)</v>
      </c>
      <c r="J8" s="10">
        <v>16</v>
      </c>
      <c r="K8" s="11">
        <f>J8 * 'Настройки (Коэффициенты)'!J7 * 'Настройки (Коэффициенты)'!$D$1</f>
        <v>3.2000000000000001E-2</v>
      </c>
    </row>
    <row r="9" spans="1:14" x14ac:dyDescent="0.3">
      <c r="A9" s="14" t="s">
        <v>11</v>
      </c>
      <c r="B9" s="15"/>
      <c r="C9" s="15"/>
      <c r="E9" s="6" t="str">
        <f>'Настройки (Коэффициенты)'!E8</f>
        <v>Видео кружок ( не считывается )</v>
      </c>
      <c r="F9" s="10">
        <v>2</v>
      </c>
      <c r="G9" s="11">
        <f>F9 * 'Настройки (Коэффициенты)'!F8 * 'Настройки (Коэффициенты)'!$D$1</f>
        <v>2.8000000000000001E-2</v>
      </c>
      <c r="I9" s="6" t="str">
        <f>'Настройки (Коэффициенты)'!I8</f>
        <v>Лайк (тебе поставили)</v>
      </c>
      <c r="J9" s="10">
        <v>96</v>
      </c>
      <c r="K9" s="11">
        <f>J9 * 'Настройки (Коэффициенты)'!J8 * 'Настройки (Коэффициенты)'!$D$1</f>
        <v>0.38400000000000001</v>
      </c>
    </row>
    <row r="10" spans="1:14" x14ac:dyDescent="0.3">
      <c r="A10" s="6" t="str">
        <f>'Настройки (Коэффициенты)'!A9</f>
        <v>Писатель (&gt; 50 симв)</v>
      </c>
      <c r="B10" s="10">
        <v>5</v>
      </c>
      <c r="C10" s="11">
        <f>B10 * 'Настройки (Коэффициенты)'!B9 * 'Настройки (Коэффициенты)'!$D$1</f>
        <v>0.2</v>
      </c>
      <c r="E10" s="6" t="str">
        <f>'Настройки (Коэффициенты)'!E9</f>
        <v>Аудио / Ссылка ( не определяется )/(+)</v>
      </c>
      <c r="F10" s="10">
        <v>0</v>
      </c>
      <c r="G10" s="11">
        <f>F10 * 'Настройки (Коэффициенты)'!F9 * 'Настройки (Коэффициенты)'!$D$1</f>
        <v>0</v>
      </c>
    </row>
    <row r="11" spans="1:14" x14ac:dyDescent="0.3">
      <c r="E11" s="6" t="str">
        <f>'Настройки (Коэффициенты)'!E10</f>
        <v>Голосовое (Voice)( +)</v>
      </c>
      <c r="F11" s="10">
        <v>4</v>
      </c>
      <c r="G11" s="11">
        <f>F11 * 'Настройки (Коэффициенты)'!F10 * 'Настройки (Коэффициенты)'!$D$1</f>
        <v>2.4E-2</v>
      </c>
      <c r="I11" s="14" t="s">
        <v>11</v>
      </c>
      <c r="J11" s="15"/>
      <c r="K11" s="15"/>
    </row>
    <row r="12" spans="1:14" x14ac:dyDescent="0.3">
      <c r="A12" s="14" t="s">
        <v>14</v>
      </c>
      <c r="B12" s="15"/>
      <c r="C12" s="15"/>
      <c r="E12" s="6" t="str">
        <f>'Настройки (Коэффициенты)'!E11</f>
        <v>GIF-анимация(+)</v>
      </c>
      <c r="F12" s="10"/>
      <c r="G12" s="11">
        <f>F12 * 'Настройки (Коэффициенты)'!F11 * 'Настройки (Коэффициенты)'!$D$1</f>
        <v>0</v>
      </c>
      <c r="I12" s="6" t="str">
        <f>'Настройки (Коэффициенты)'!I11</f>
        <v>Острый язычок (&gt;2 репостов)</v>
      </c>
      <c r="J12" s="10">
        <v>1</v>
      </c>
      <c r="K12" s="11">
        <f>J12 * 'Настройки (Коэффициенты)'!J11 * 'Настройки (Коэффициенты)'!$D$1</f>
        <v>1.2E-2</v>
      </c>
    </row>
    <row r="13" spans="1:14" x14ac:dyDescent="0.3">
      <c r="A13" s="6" t="str">
        <f>'Настройки (Коэффициенты)'!A12</f>
        <v>Основа чата (10 сообщ)</v>
      </c>
      <c r="B13" s="10">
        <v>10</v>
      </c>
      <c r="C13" s="11">
        <f>B13 * 'Настройки (Коэффициенты)'!B12 * 'Настройки (Коэффициенты)'!$D$1</f>
        <v>1</v>
      </c>
      <c r="I13" s="6" t="str">
        <f>'Настройки (Коэффициенты)'!I12</f>
        <v>Вирусный пост (&gt;2 лайков)(+)</v>
      </c>
      <c r="J13" s="10">
        <v>0</v>
      </c>
      <c r="K13" s="11">
        <f>J13 * 'Настройки (Коэффициенты)'!J12 * 'Настройки (Коэффициенты)'!$D$1</f>
        <v>0</v>
      </c>
    </row>
    <row r="14" spans="1:14" x14ac:dyDescent="0.3">
      <c r="A14" s="6" t="str">
        <f>'Настройки (Коэффициенты)'!A13</f>
        <v>Эмоциональный (10 эмодзи)</v>
      </c>
      <c r="B14" s="10">
        <v>0</v>
      </c>
      <c r="C14" s="11">
        <f>B14 * 'Настройки (Коэффициенты)'!B13 * 'Настройки (Коэффициенты)'!$D$1</f>
        <v>0</v>
      </c>
      <c r="E14" s="14" t="s">
        <v>11</v>
      </c>
      <c r="F14" s="15"/>
      <c r="G14" s="15"/>
      <c r="I14" s="6" t="str">
        <f>'Настройки (Коэффициенты)'!I13</f>
        <v>Хит (4 лайка)(+)</v>
      </c>
      <c r="J14" s="10">
        <v>0</v>
      </c>
      <c r="K14" s="11">
        <f>J14 * 'Настройки (Коэффициенты)'!J13 * 'Настройки (Коэффициенты)'!$D$1</f>
        <v>0</v>
      </c>
    </row>
    <row r="15" spans="1:14" x14ac:dyDescent="0.3">
      <c r="E15" s="6" t="str">
        <f>'Настройки (Коэффициенты)'!E14</f>
        <v>Иллюстратор (Текст+Фото)</v>
      </c>
      <c r="F15" s="10">
        <v>1</v>
      </c>
      <c r="G15" s="11">
        <f>F15 * 'Настройки (Коэффициенты)'!F14 * 'Настройки (Коэффициенты)'!$D$1</f>
        <v>0.08</v>
      </c>
      <c r="I15" s="6" t="str">
        <f>'Настройки (Коэффициенты)'!I14</f>
        <v>Легенда (6+ лайков)(+)</v>
      </c>
      <c r="J15" s="10">
        <v>96</v>
      </c>
      <c r="K15" s="11">
        <f>J15 * 'Настройки (Коэффициенты)'!J14 * 'Настройки (Коэффициенты)'!$D$1</f>
        <v>3.84</v>
      </c>
    </row>
    <row r="16" spans="1:14" x14ac:dyDescent="0.3">
      <c r="A16" s="14" t="s">
        <v>19</v>
      </c>
      <c r="B16" s="15"/>
      <c r="C16" s="15"/>
      <c r="E16" s="6" t="str">
        <f>'Настройки (Коэффициенты)'!E15</f>
        <v>Рецензент (Видео+Текст)</v>
      </c>
      <c r="F16" s="10">
        <v>0</v>
      </c>
      <c r="G16" s="11">
        <f>F16 * 'Настройки (Коэффициенты)'!F15 * 'Настройки (Коэффициенты)'!$D$1</f>
        <v>0</v>
      </c>
    </row>
    <row r="17" spans="1:11" x14ac:dyDescent="0.3">
      <c r="A17" s="6" t="str">
        <f>'Настройки (Коэффициенты)'!A16</f>
        <v>Копипаст</v>
      </c>
      <c r="B17" s="10">
        <v>0</v>
      </c>
      <c r="C17" s="11">
        <f>B17 * 'Настройки (Коэффициенты)'!B16 * 'Настройки (Коэффициенты)'!$D$1</f>
        <v>0</v>
      </c>
      <c r="E17" s="6" t="str">
        <f>'Настройки (Коэффициенты)'!E16</f>
        <v>Диджей (Плейлист)</v>
      </c>
      <c r="F17" s="10">
        <v>0</v>
      </c>
      <c r="G17" s="11">
        <f>F17 * 'Настройки (Коэффициенты)'!F16 * 'Настройки (Коэффициенты)'!$D$1</f>
        <v>0</v>
      </c>
      <c r="I17" s="14" t="s">
        <v>14</v>
      </c>
      <c r="J17" s="15"/>
      <c r="K17" s="15"/>
    </row>
    <row r="18" spans="1:11" x14ac:dyDescent="0.3">
      <c r="I18" s="6" t="str">
        <f>'Настройки (Коэффициенты)'!I17</f>
        <v>Болтун (20 твоих ответов)</v>
      </c>
      <c r="J18" s="10">
        <v>20</v>
      </c>
      <c r="K18" s="11">
        <f>J18 * 'Настройки (Коэффициенты)'!J17 * 'Настройки (Коэффициенты)'!$D$1</f>
        <v>1.6</v>
      </c>
    </row>
    <row r="19" spans="1:11" x14ac:dyDescent="0.3">
      <c r="E19" s="14" t="s">
        <v>14</v>
      </c>
      <c r="F19" s="15"/>
      <c r="G19" s="15"/>
      <c r="I19" s="6" t="str">
        <f>'Настройки (Коэффициенты)'!I18</f>
        <v>Центр (20 ответов тебе)</v>
      </c>
      <c r="J19" s="10">
        <v>20</v>
      </c>
      <c r="K19" s="11">
        <f>J19 * 'Настройки (Коэффициенты)'!J18 * 'Настройки (Коэффициенты)'!$D$1</f>
        <v>2</v>
      </c>
    </row>
    <row r="20" spans="1:11" x14ac:dyDescent="0.3">
      <c r="E20" s="6" t="str">
        <f>'Настройки (Коэффициенты)'!E19</f>
        <v>Фотограф (3+ фото)</v>
      </c>
      <c r="F20" s="10">
        <v>0</v>
      </c>
      <c r="G20" s="11">
        <f>F20 * 'Настройки (Коэффициенты)'!F19 * 'Настройки (Коэффициенты)'!$D$1</f>
        <v>0</v>
      </c>
      <c r="I20" s="6" t="str">
        <f>'Настройки (Коэффициенты)'!I19</f>
        <v>Щедрая душа (5 лайков)(+)</v>
      </c>
      <c r="J20" s="10">
        <v>5</v>
      </c>
      <c r="K20" s="11">
        <f>J20 * 'Настройки (Коэффициенты)'!J19 * 'Настройки (Коэффициенты)'!$D$1</f>
        <v>0.2</v>
      </c>
    </row>
    <row r="21" spans="1:11" x14ac:dyDescent="0.3">
      <c r="E21" s="6" t="str">
        <f>'Настройки (Коэффициенты)'!E20</f>
        <v>Режиссер (2 видео)</v>
      </c>
      <c r="F21" s="10">
        <v>0</v>
      </c>
      <c r="G21" s="11">
        <f>F21 * 'Настройки (Коэффициенты)'!F20 * 'Настройки (Коэффициенты)'!$D$1</f>
        <v>0</v>
      </c>
      <c r="I21" s="6" t="str">
        <f>'Настройки (Коэффициенты)'!I20</f>
        <v>Любимчик (10 лайков тебе)</v>
      </c>
      <c r="J21" s="10">
        <v>10</v>
      </c>
      <c r="K21" s="11">
        <f>J21 * 'Настройки (Коэффициенты)'!J20 * 'Настройки (Коэффициенты)'!$D$1</f>
        <v>0.8</v>
      </c>
    </row>
    <row r="22" spans="1:11" x14ac:dyDescent="0.3">
      <c r="E22" s="6" t="str">
        <f>'Настройки (Коэффициенты)'!E21</f>
        <v>Лицом торгуешь (5 кружков)</v>
      </c>
      <c r="F22" s="10">
        <v>0</v>
      </c>
      <c r="G22" s="11">
        <f>F22 * 'Настройки (Коэффициенты)'!F21 * 'Настройки (Коэффициенты)'!$D$1</f>
        <v>0</v>
      </c>
    </row>
    <row r="23" spans="1:11" x14ac:dyDescent="0.3">
      <c r="E23" s="6" t="str">
        <f>'Настройки (Коэффициенты)'!E22</f>
        <v>Меломан (5 треков)</v>
      </c>
      <c r="F23" s="10">
        <v>0</v>
      </c>
      <c r="G23" s="11">
        <f>F23 * 'Настройки (Коэффициенты)'!F22 * 'Настройки (Коэффициенты)'!$D$1</f>
        <v>0</v>
      </c>
      <c r="I23" s="14" t="s">
        <v>19</v>
      </c>
      <c r="J23" s="15"/>
      <c r="K23" s="15"/>
    </row>
    <row r="24" spans="1:11" x14ac:dyDescent="0.3">
      <c r="E24" s="6" t="str">
        <f>'Настройки (Коэффициенты)'!E23</f>
        <v>Радио (4 войса)</v>
      </c>
      <c r="F24" s="10">
        <v>0</v>
      </c>
      <c r="G24" s="11">
        <f>F24 * 'Настройки (Коэффициенты)'!F23 * 'Настройки (Коэффициенты)'!$D$1</f>
        <v>0</v>
      </c>
      <c r="I24" s="6" t="str">
        <f>'Настройки (Коэффициенты)'!I23</f>
        <v>Не в ту дверь (Нарушение)</v>
      </c>
      <c r="J24" s="10">
        <v>0</v>
      </c>
      <c r="K24" s="11">
        <f>J24 * 'Настройки (Коэффициенты)'!J23 * 'Настройки (Коэффициенты)'!$D$1</f>
        <v>0</v>
      </c>
    </row>
    <row r="25" spans="1:11" x14ac:dyDescent="0.3">
      <c r="E25" s="6" t="str">
        <f>'Настройки (Коэффициенты)'!E24</f>
        <v>Гифошная (10 гиф)</v>
      </c>
      <c r="F25" s="10">
        <v>0</v>
      </c>
      <c r="G25" s="11">
        <f>F25 * 'Настройки (Коэффициенты)'!F24 * 'Настройки (Коэффициенты)'!$D$1</f>
        <v>0</v>
      </c>
      <c r="I25" s="6" t="str">
        <f>'Настройки (Коэффициенты)'!I24</f>
        <v>Удаление (Токсик)</v>
      </c>
      <c r="J25" s="10">
        <v>0</v>
      </c>
      <c r="K25" s="11">
        <f>J25 * 'Настройки (Коэффициенты)'!J24 * 'Настройки (Коэффициенты)'!$D$1</f>
        <v>0</v>
      </c>
    </row>
  </sheetData>
  <mergeCells count="13">
    <mergeCell ref="C1:D2"/>
    <mergeCell ref="A12:C12"/>
    <mergeCell ref="I5:K5"/>
    <mergeCell ref="I23:K23"/>
    <mergeCell ref="A9:C9"/>
    <mergeCell ref="I17:K17"/>
    <mergeCell ref="A1:B2"/>
    <mergeCell ref="A16:C16"/>
    <mergeCell ref="I11:K11"/>
    <mergeCell ref="E19:G19"/>
    <mergeCell ref="E14:G14"/>
    <mergeCell ref="A5:C5"/>
    <mergeCell ref="E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Настройки (Коэффициенты)</vt:lpstr>
      <vt:lpstr>Симулятор пользователя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клименко</cp:lastModifiedBy>
  <dcterms:created xsi:type="dcterms:W3CDTF">2026-03-11T18:11:50Z</dcterms:created>
  <dcterms:modified xsi:type="dcterms:W3CDTF">2026-03-15T17:26:29Z</dcterms:modified>
</cp:coreProperties>
</file>