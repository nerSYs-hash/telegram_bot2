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ot_2\telegram_bot2\"/>
    </mc:Choice>
  </mc:AlternateContent>
  <xr:revisionPtr revIDLastSave="0" documentId="13_ncr:1_{4E1D7E1A-E6D0-4B4A-B3AC-28365FF50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стройки" sheetId="1" r:id="rId1"/>
    <sheet name="Симулято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" l="1"/>
  <c r="I30" i="2"/>
  <c r="K29" i="2"/>
  <c r="I29" i="2"/>
  <c r="K26" i="2"/>
  <c r="I26" i="2"/>
  <c r="C26" i="2"/>
  <c r="A26" i="2"/>
  <c r="K25" i="2"/>
  <c r="I25" i="2"/>
  <c r="G25" i="2"/>
  <c r="E25" i="2"/>
  <c r="K24" i="2"/>
  <c r="I24" i="2"/>
  <c r="G24" i="2"/>
  <c r="E24" i="2"/>
  <c r="G23" i="2"/>
  <c r="E23" i="2"/>
  <c r="C23" i="2"/>
  <c r="A23" i="2"/>
  <c r="G22" i="2"/>
  <c r="E22" i="2"/>
  <c r="C22" i="2"/>
  <c r="A22" i="2"/>
  <c r="K21" i="2"/>
  <c r="I21" i="2"/>
  <c r="G21" i="2"/>
  <c r="E21" i="2"/>
  <c r="C21" i="2"/>
  <c r="A21" i="2"/>
  <c r="K20" i="2"/>
  <c r="I20" i="2"/>
  <c r="G20" i="2"/>
  <c r="E20" i="2"/>
  <c r="C20" i="2"/>
  <c r="A20" i="2"/>
  <c r="K19" i="2"/>
  <c r="I19" i="2"/>
  <c r="C19" i="2"/>
  <c r="A19" i="2"/>
  <c r="K18" i="2"/>
  <c r="I18" i="2"/>
  <c r="C18" i="2"/>
  <c r="A18" i="2"/>
  <c r="G17" i="2"/>
  <c r="E17" i="2"/>
  <c r="C17" i="2"/>
  <c r="A17" i="2"/>
  <c r="G16" i="2"/>
  <c r="E16" i="2"/>
  <c r="K15" i="2"/>
  <c r="I15" i="2"/>
  <c r="G15" i="2"/>
  <c r="E15" i="2"/>
  <c r="K14" i="2"/>
  <c r="I14" i="2"/>
  <c r="C14" i="2"/>
  <c r="A14" i="2"/>
  <c r="K13" i="2"/>
  <c r="I13" i="2"/>
  <c r="C13" i="2"/>
  <c r="A13" i="2"/>
  <c r="K12" i="2"/>
  <c r="I12" i="2"/>
  <c r="G12" i="2"/>
  <c r="E12" i="2"/>
  <c r="G11" i="2"/>
  <c r="E11" i="2"/>
  <c r="G10" i="2"/>
  <c r="E10" i="2"/>
  <c r="C10" i="2"/>
  <c r="A10" i="2"/>
  <c r="K9" i="2"/>
  <c r="I9" i="2"/>
  <c r="G9" i="2"/>
  <c r="E9" i="2"/>
  <c r="K8" i="2"/>
  <c r="I8" i="2"/>
  <c r="G8" i="2"/>
  <c r="E8" i="2"/>
  <c r="K7" i="2"/>
  <c r="I7" i="2"/>
  <c r="G7" i="2"/>
  <c r="E7" i="2"/>
  <c r="C7" i="2"/>
  <c r="A7" i="2"/>
  <c r="K6" i="2"/>
  <c r="I6" i="2"/>
  <c r="G6" i="2"/>
  <c r="E6" i="2"/>
  <c r="C6" i="2"/>
  <c r="A6" i="2"/>
  <c r="N5" i="2"/>
  <c r="N4" i="2"/>
  <c r="N3" i="2"/>
  <c r="C1" i="2"/>
</calcChain>
</file>

<file path=xl/sharedStrings.xml><?xml version="1.0" encoding="utf-8"?>
<sst xmlns="http://schemas.openxmlformats.org/spreadsheetml/2006/main" count="144" uniqueCount="71">
  <si>
    <t>ГЛОБАЛЬНАЯ БАЗА (1x) =</t>
  </si>
  <si>
    <t>💎 Пульсов</t>
  </si>
  <si>
    <t>📝 ТЕКСТ И ОБЩЕНИЕ</t>
  </si>
  <si>
    <t>Коэф. (x)</t>
  </si>
  <si>
    <t>Частота</t>
  </si>
  <si>
    <t>📷 МЕДИА И ВЛОЖЕНИЯ</t>
  </si>
  <si>
    <t>🤝 СОЦИУМ И РЕАКЦИИ</t>
  </si>
  <si>
    <t>🔹 БАЗА</t>
  </si>
  <si>
    <t>Текст (сообщение)</t>
  </si>
  <si>
    <t>-</t>
  </si>
  <si>
    <t>Фото</t>
  </si>
  <si>
    <t>Ответ (ты ответил)</t>
  </si>
  <si>
    <t>Эмодзи (без текста)</t>
  </si>
  <si>
    <t>Фото (2+ в спец. ветке)</t>
  </si>
  <si>
    <t>Ответ (тебе ответили)</t>
  </si>
  <si>
    <t>Видео обычное</t>
  </si>
  <si>
    <t>Лайк (ты поставил)</t>
  </si>
  <si>
    <t>🔥 КОМБО</t>
  </si>
  <si>
    <t>Видео кружок</t>
  </si>
  <si>
    <t>Лайк (тебе поставили)</t>
  </si>
  <si>
    <t>Писатель (&gt; 50 симв)</t>
  </si>
  <si>
    <t>24 часа</t>
  </si>
  <si>
    <t>Аудио / Ссылка</t>
  </si>
  <si>
    <t>Голосовое (Voice)</t>
  </si>
  <si>
    <t>🚀 СПРИНТЫ</t>
  </si>
  <si>
    <t>GIF-анимация</t>
  </si>
  <si>
    <t>Острый язычок (&gt;2 репостов)</t>
  </si>
  <si>
    <t>Основа чата (10 сообщ)</t>
  </si>
  <si>
    <t>Вирусный пост (&gt;2 лайков)</t>
  </si>
  <si>
    <t>Эмоциональный (10 эмодзи)</t>
  </si>
  <si>
    <t>Хит (4 лайка)</t>
  </si>
  <si>
    <t>Иллюстратор (Текст+Фото)</t>
  </si>
  <si>
    <t>Легенда (6+ лайков)</t>
  </si>
  <si>
    <t>🎁 СЕКРЕТЫ (Пасхалки)</t>
  </si>
  <si>
    <t>Рецензент (Видео+Текст)</t>
  </si>
  <si>
    <t>Магия чисел (11:11 и т.д.)</t>
  </si>
  <si>
    <t>Диджей (Плейлист)</t>
  </si>
  <si>
    <t>Ранняя пташка (05:00)</t>
  </si>
  <si>
    <t>Болтун (20 твоих ответов)</t>
  </si>
  <si>
    <t>1 час</t>
  </si>
  <si>
    <t>Лев Толстой (&gt;1000 симв)</t>
  </si>
  <si>
    <t>Центр (20 ответов тебе)</t>
  </si>
  <si>
    <t>12 часов</t>
  </si>
  <si>
    <t>Юбилейное сообщение</t>
  </si>
  <si>
    <t>Фотограф (3+ фото)</t>
  </si>
  <si>
    <t>Щедрая душа (5 лайков)</t>
  </si>
  <si>
    <t>Резонанс (Секретное слово)</t>
  </si>
  <si>
    <t>Рандом</t>
  </si>
  <si>
    <t>Режиссер (2 видео)</t>
  </si>
  <si>
    <t>Любимчик (10 лайков тебе)</t>
  </si>
  <si>
    <t>Критический удар (Шанс 2%)</t>
  </si>
  <si>
    <t>Лицом торгуешь (5 кружков)</t>
  </si>
  <si>
    <t>Амбассадор вежливости</t>
  </si>
  <si>
    <t>Меломан (5 треков)</t>
  </si>
  <si>
    <t>Радио (4 войса)</t>
  </si>
  <si>
    <t>Хлеб-соль (Ответ новичку)</t>
  </si>
  <si>
    <t>⛔ ШТРАФЫ</t>
  </si>
  <si>
    <t>Гифошная (10 гиф)</t>
  </si>
  <si>
    <t>Пинг-понг (Ответ &lt; 10 сек)</t>
  </si>
  <si>
    <t>Копипаст</t>
  </si>
  <si>
    <t>Некромант (Ответ на пост &gt;48ч)</t>
  </si>
  <si>
    <t>Не в ту дверь (Нарушение)</t>
  </si>
  <si>
    <t>Удаление (Токсик)</t>
  </si>
  <si>
    <t>ИТОГО ЗА ДЕНЬ:</t>
  </si>
  <si>
    <t>Сектор</t>
  </si>
  <si>
    <t>Заработано</t>
  </si>
  <si>
    <t>Текст</t>
  </si>
  <si>
    <t>Кол-во</t>
  </si>
  <si>
    <t>💎 Итого</t>
  </si>
  <si>
    <t>Медиа</t>
  </si>
  <si>
    <t>Социум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</si>
</sst>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\ \_xd83d_\_xdc8e_"/>
  </numFmts>
  <fonts count="9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4"/>
      <color rgb="FFE74C3C"/>
      <name val="Calibri"/>
    </font>
    <font>
      <b/>
      <sz val="11"/>
      <color rgb="FFFFFFFF"/>
      <name val="Calibri"/>
    </font>
    <font>
      <b/>
      <i/>
      <sz val="11"/>
      <color rgb="FF2C3E50"/>
      <name val="Calibri"/>
    </font>
    <font>
      <b/>
      <sz val="16"/>
      <name val="Calibri"/>
    </font>
    <font>
      <b/>
      <sz val="20"/>
      <color rgb="FF27AE60"/>
      <name val="Calibri"/>
    </font>
    <font>
      <b/>
      <sz val="11"/>
      <color rgb="FF2C3E5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E5E7E9"/>
      </patternFill>
    </fill>
    <fill>
      <patternFill patternType="solid">
        <fgColor rgb="FF8E44AD"/>
      </patternFill>
    </fill>
    <fill>
      <patternFill patternType="solid">
        <fgColor rgb="FFD354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/>
    <xf numFmtId="0" fontId="1" fillId="0" borderId="0" xfId="0" applyFont="1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0" fontId="0" fillId="6" borderId="1" xfId="0" applyFill="1" applyBorder="1" applyAlignment="1">
      <alignment horizontal="center" vertical="center"/>
    </xf>
    <xf numFmtId="164" fontId="7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right"/>
    </xf>
    <xf numFmtId="0" fontId="0" fillId="0" borderId="0" xfId="0"/>
    <xf numFmtId="165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Источники дохода 💎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Симулятор!$N$2</c:f>
              <c:strCache>
                <c:ptCount val="1"/>
                <c:pt idx="0">
                  <c:v>Заработано</c:v>
                </c:pt>
              </c:strCache>
            </c:strRef>
          </c:tx>
          <c:spPr>
            <a:ln>
              <a:prstDash val="solid"/>
            </a:ln>
          </c:spPr>
          <c:cat>
            <c:strRef>
              <c:f>Симулятор!$M$3:$M$5</c:f>
              <c:strCache>
                <c:ptCount val="3"/>
                <c:pt idx="0">
                  <c:v>Текст</c:v>
                </c:pt>
                <c:pt idx="1">
                  <c:v>Медиа</c:v>
                </c:pt>
                <c:pt idx="2">
                  <c:v>Социум</c:v>
                </c:pt>
              </c:strCache>
            </c:strRef>
          </c:cat>
          <c:val>
            <c:numRef>
              <c:f>Симулятор!$N$3:$N$5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F-4159-ADC0-94F270B0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6" workbookViewId="0">
      <selection activeCell="D5" sqref="D5"/>
    </sheetView>
  </sheetViews>
  <sheetFormatPr defaultRowHeight="14.4" x14ac:dyDescent="0.3"/>
  <cols>
    <col min="1" max="1" width="30" customWidth="1"/>
    <col min="2" max="2" width="10" customWidth="1"/>
    <col min="3" max="3" width="15" customWidth="1"/>
    <col min="4" max="4" width="10.5546875" customWidth="1"/>
    <col min="5" max="5" width="30" customWidth="1"/>
    <col min="6" max="6" width="10" customWidth="1"/>
    <col min="7" max="7" width="15" customWidth="1"/>
    <col min="8" max="8" width="3" customWidth="1"/>
    <col min="9" max="9" width="30" customWidth="1"/>
    <col min="10" max="10" width="10" customWidth="1"/>
    <col min="11" max="11" width="15" customWidth="1"/>
    <col min="12" max="12" width="3" customWidth="1"/>
  </cols>
  <sheetData>
    <row r="1" spans="1:11" ht="18" x14ac:dyDescent="0.35">
      <c r="A1" s="14" t="s">
        <v>0</v>
      </c>
      <c r="B1" s="14"/>
      <c r="C1" s="14"/>
      <c r="D1" s="1">
        <v>2E-3</v>
      </c>
      <c r="E1" s="2" t="s">
        <v>1</v>
      </c>
    </row>
    <row r="3" spans="1:11" x14ac:dyDescent="0.3">
      <c r="A3" s="3" t="s">
        <v>2</v>
      </c>
      <c r="B3" s="3" t="s">
        <v>3</v>
      </c>
      <c r="C3" s="3" t="s">
        <v>4</v>
      </c>
      <c r="E3" s="4" t="s">
        <v>5</v>
      </c>
      <c r="F3" s="4" t="s">
        <v>3</v>
      </c>
      <c r="G3" s="4" t="s">
        <v>4</v>
      </c>
      <c r="I3" s="5" t="s">
        <v>6</v>
      </c>
      <c r="J3" s="5" t="s">
        <v>3</v>
      </c>
      <c r="K3" s="5" t="s">
        <v>4</v>
      </c>
    </row>
    <row r="4" spans="1:11" x14ac:dyDescent="0.3">
      <c r="A4" s="12" t="s">
        <v>7</v>
      </c>
      <c r="B4" s="13"/>
      <c r="C4" s="13"/>
      <c r="E4" s="12" t="s">
        <v>7</v>
      </c>
      <c r="F4" s="13"/>
      <c r="G4" s="13"/>
      <c r="I4" s="12" t="s">
        <v>7</v>
      </c>
      <c r="J4" s="13"/>
      <c r="K4" s="13"/>
    </row>
    <row r="5" spans="1:11" x14ac:dyDescent="0.3">
      <c r="A5" s="6" t="s">
        <v>8</v>
      </c>
      <c r="B5" s="7">
        <v>1</v>
      </c>
      <c r="C5" s="7" t="s">
        <v>9</v>
      </c>
      <c r="E5" s="6" t="s">
        <v>10</v>
      </c>
      <c r="F5" s="7">
        <v>4</v>
      </c>
      <c r="G5" s="7" t="s">
        <v>9</v>
      </c>
      <c r="I5" s="6" t="s">
        <v>11</v>
      </c>
      <c r="J5" s="7">
        <v>1</v>
      </c>
      <c r="K5" s="7" t="s">
        <v>9</v>
      </c>
    </row>
    <row r="6" spans="1:11" x14ac:dyDescent="0.3">
      <c r="A6" s="6" t="s">
        <v>12</v>
      </c>
      <c r="B6" s="7">
        <v>1</v>
      </c>
      <c r="C6" s="7" t="s">
        <v>9</v>
      </c>
      <c r="E6" s="6" t="s">
        <v>13</v>
      </c>
      <c r="F6" s="7">
        <v>6</v>
      </c>
      <c r="G6" s="7" t="s">
        <v>9</v>
      </c>
      <c r="I6" s="6" t="s">
        <v>14</v>
      </c>
      <c r="J6" s="7">
        <v>1</v>
      </c>
      <c r="K6" s="7" t="s">
        <v>9</v>
      </c>
    </row>
    <row r="7" spans="1:11" x14ac:dyDescent="0.3">
      <c r="E7" s="6" t="s">
        <v>15</v>
      </c>
      <c r="F7" s="7">
        <v>5</v>
      </c>
      <c r="G7" s="7" t="s">
        <v>9</v>
      </c>
      <c r="I7" s="6" t="s">
        <v>16</v>
      </c>
      <c r="J7" s="7">
        <v>1</v>
      </c>
      <c r="K7" s="7" t="s">
        <v>9</v>
      </c>
    </row>
    <row r="8" spans="1:11" x14ac:dyDescent="0.3">
      <c r="A8" s="12" t="s">
        <v>17</v>
      </c>
      <c r="B8" s="13"/>
      <c r="C8" s="13"/>
      <c r="E8" s="6" t="s">
        <v>18</v>
      </c>
      <c r="F8" s="7">
        <v>7</v>
      </c>
      <c r="G8" s="7" t="s">
        <v>9</v>
      </c>
      <c r="I8" s="6" t="s">
        <v>19</v>
      </c>
      <c r="J8" s="7">
        <v>2</v>
      </c>
      <c r="K8" s="7" t="s">
        <v>9</v>
      </c>
    </row>
    <row r="9" spans="1:11" x14ac:dyDescent="0.3">
      <c r="A9" s="6" t="s">
        <v>20</v>
      </c>
      <c r="B9" s="7">
        <v>10</v>
      </c>
      <c r="C9" s="7" t="s">
        <v>21</v>
      </c>
      <c r="E9" s="6" t="s">
        <v>22</v>
      </c>
      <c r="F9" s="7">
        <v>2</v>
      </c>
      <c r="G9" s="7" t="s">
        <v>9</v>
      </c>
    </row>
    <row r="10" spans="1:11" x14ac:dyDescent="0.3">
      <c r="E10" s="6" t="s">
        <v>23</v>
      </c>
      <c r="F10" s="7">
        <v>3</v>
      </c>
      <c r="G10" s="7" t="s">
        <v>9</v>
      </c>
      <c r="I10" s="12" t="s">
        <v>17</v>
      </c>
      <c r="J10" s="13"/>
      <c r="K10" s="13"/>
    </row>
    <row r="11" spans="1:11" x14ac:dyDescent="0.3">
      <c r="A11" s="12" t="s">
        <v>24</v>
      </c>
      <c r="B11" s="13"/>
      <c r="C11" s="13"/>
      <c r="E11" s="6" t="s">
        <v>25</v>
      </c>
      <c r="F11" s="7">
        <v>1</v>
      </c>
      <c r="G11" s="7" t="s">
        <v>9</v>
      </c>
      <c r="I11" s="6" t="s">
        <v>26</v>
      </c>
      <c r="J11" s="7">
        <v>3</v>
      </c>
      <c r="K11" s="7" t="s">
        <v>21</v>
      </c>
    </row>
    <row r="12" spans="1:11" x14ac:dyDescent="0.3">
      <c r="A12" s="6" t="s">
        <v>27</v>
      </c>
      <c r="B12" s="7">
        <v>25</v>
      </c>
      <c r="C12" s="7" t="s">
        <v>21</v>
      </c>
      <c r="I12" s="6" t="s">
        <v>28</v>
      </c>
      <c r="J12" s="7">
        <v>2</v>
      </c>
      <c r="K12" s="7" t="s">
        <v>21</v>
      </c>
    </row>
    <row r="13" spans="1:11" x14ac:dyDescent="0.3">
      <c r="A13" s="6" t="s">
        <v>29</v>
      </c>
      <c r="B13" s="7">
        <v>10</v>
      </c>
      <c r="C13" s="7" t="s">
        <v>21</v>
      </c>
      <c r="E13" s="12" t="s">
        <v>17</v>
      </c>
      <c r="F13" s="13"/>
      <c r="G13" s="13"/>
      <c r="I13" s="6" t="s">
        <v>30</v>
      </c>
      <c r="J13" s="7">
        <v>5</v>
      </c>
      <c r="K13" s="7" t="s">
        <v>21</v>
      </c>
    </row>
    <row r="14" spans="1:11" x14ac:dyDescent="0.3">
      <c r="E14" s="6" t="s">
        <v>31</v>
      </c>
      <c r="F14" s="7">
        <v>20</v>
      </c>
      <c r="G14" s="7" t="s">
        <v>21</v>
      </c>
      <c r="I14" s="6" t="s">
        <v>32</v>
      </c>
      <c r="J14" s="7">
        <v>10</v>
      </c>
      <c r="K14" s="7" t="s">
        <v>21</v>
      </c>
    </row>
    <row r="15" spans="1:11" x14ac:dyDescent="0.3">
      <c r="A15" s="12" t="s">
        <v>33</v>
      </c>
      <c r="B15" s="13"/>
      <c r="C15" s="13"/>
      <c r="E15" s="6" t="s">
        <v>34</v>
      </c>
      <c r="F15" s="7">
        <v>20</v>
      </c>
      <c r="G15" s="7" t="s">
        <v>21</v>
      </c>
    </row>
    <row r="16" spans="1:11" x14ac:dyDescent="0.3">
      <c r="A16" s="6" t="s">
        <v>35</v>
      </c>
      <c r="B16" s="7">
        <v>5500</v>
      </c>
      <c r="C16" s="7" t="s">
        <v>21</v>
      </c>
      <c r="E16" s="6" t="s">
        <v>36</v>
      </c>
      <c r="F16" s="7">
        <v>15</v>
      </c>
      <c r="G16" s="7" t="s">
        <v>21</v>
      </c>
      <c r="I16" s="12" t="s">
        <v>24</v>
      </c>
      <c r="J16" s="13"/>
      <c r="K16" s="13"/>
    </row>
    <row r="17" spans="1:11" x14ac:dyDescent="0.3">
      <c r="A17" s="6" t="s">
        <v>37</v>
      </c>
      <c r="B17" s="7">
        <v>7500</v>
      </c>
      <c r="C17" s="7" t="s">
        <v>21</v>
      </c>
      <c r="I17" s="6" t="s">
        <v>38</v>
      </c>
      <c r="J17" s="7">
        <v>20</v>
      </c>
      <c r="K17" s="7" t="s">
        <v>39</v>
      </c>
    </row>
    <row r="18" spans="1:11" x14ac:dyDescent="0.3">
      <c r="A18" s="6" t="s">
        <v>40</v>
      </c>
      <c r="B18" s="7">
        <v>15000</v>
      </c>
      <c r="C18" s="7" t="s">
        <v>21</v>
      </c>
      <c r="E18" s="12" t="s">
        <v>24</v>
      </c>
      <c r="F18" s="13"/>
      <c r="G18" s="13"/>
      <c r="I18" s="6" t="s">
        <v>41</v>
      </c>
      <c r="J18" s="7">
        <v>25</v>
      </c>
      <c r="K18" s="7" t="s">
        <v>42</v>
      </c>
    </row>
    <row r="19" spans="1:11" x14ac:dyDescent="0.3">
      <c r="A19" s="6" t="s">
        <v>43</v>
      </c>
      <c r="B19" s="7">
        <v>25000</v>
      </c>
      <c r="C19" s="7" t="s">
        <v>21</v>
      </c>
      <c r="E19" s="6" t="s">
        <v>44</v>
      </c>
      <c r="F19" s="7">
        <v>20</v>
      </c>
      <c r="G19" s="7" t="s">
        <v>21</v>
      </c>
      <c r="I19" s="6" t="s">
        <v>45</v>
      </c>
      <c r="J19" s="7">
        <v>10</v>
      </c>
      <c r="K19" s="7" t="s">
        <v>39</v>
      </c>
    </row>
    <row r="20" spans="1:11" x14ac:dyDescent="0.3">
      <c r="A20" s="6" t="s">
        <v>46</v>
      </c>
      <c r="B20" s="7">
        <v>15000</v>
      </c>
      <c r="C20" s="7" t="s">
        <v>47</v>
      </c>
      <c r="E20" s="6" t="s">
        <v>48</v>
      </c>
      <c r="F20" s="7">
        <v>70</v>
      </c>
      <c r="G20" s="7" t="s">
        <v>21</v>
      </c>
      <c r="I20" s="6" t="s">
        <v>49</v>
      </c>
      <c r="J20" s="7">
        <v>20</v>
      </c>
      <c r="K20" s="7" t="s">
        <v>39</v>
      </c>
    </row>
    <row r="21" spans="1:11" x14ac:dyDescent="0.3">
      <c r="A21" s="6" t="s">
        <v>50</v>
      </c>
      <c r="B21" s="7">
        <v>5000</v>
      </c>
      <c r="C21" s="7" t="s">
        <v>47</v>
      </c>
      <c r="E21" s="6" t="s">
        <v>51</v>
      </c>
      <c r="F21" s="7">
        <v>30</v>
      </c>
      <c r="G21" s="7" t="s">
        <v>42</v>
      </c>
    </row>
    <row r="22" spans="1:11" x14ac:dyDescent="0.3">
      <c r="A22" s="6" t="s">
        <v>52</v>
      </c>
      <c r="B22" s="7">
        <v>100</v>
      </c>
      <c r="C22" s="7" t="s">
        <v>39</v>
      </c>
      <c r="E22" s="6" t="s">
        <v>53</v>
      </c>
      <c r="F22" s="7">
        <v>60</v>
      </c>
      <c r="G22" s="7" t="s">
        <v>21</v>
      </c>
      <c r="I22" s="12" t="s">
        <v>33</v>
      </c>
      <c r="J22" s="13"/>
      <c r="K22" s="13"/>
    </row>
    <row r="23" spans="1:11" x14ac:dyDescent="0.3">
      <c r="E23" s="6" t="s">
        <v>54</v>
      </c>
      <c r="F23" s="7">
        <v>10</v>
      </c>
      <c r="G23" s="7" t="s">
        <v>39</v>
      </c>
      <c r="I23" s="6" t="s">
        <v>55</v>
      </c>
      <c r="J23" s="7">
        <v>12500</v>
      </c>
      <c r="K23" s="7" t="s">
        <v>21</v>
      </c>
    </row>
    <row r="24" spans="1:11" x14ac:dyDescent="0.3">
      <c r="A24" s="12" t="s">
        <v>56</v>
      </c>
      <c r="B24" s="13"/>
      <c r="C24" s="13"/>
      <c r="E24" s="6" t="s">
        <v>57</v>
      </c>
      <c r="F24" s="7">
        <v>15</v>
      </c>
      <c r="G24" s="7" t="s">
        <v>39</v>
      </c>
      <c r="I24" s="6" t="s">
        <v>58</v>
      </c>
      <c r="J24" s="7">
        <v>2500</v>
      </c>
      <c r="K24" s="7" t="s">
        <v>39</v>
      </c>
    </row>
    <row r="25" spans="1:11" x14ac:dyDescent="0.3">
      <c r="A25" s="6" t="s">
        <v>59</v>
      </c>
      <c r="B25" s="7">
        <v>-25000</v>
      </c>
      <c r="C25" s="7" t="s">
        <v>9</v>
      </c>
      <c r="I25" s="6" t="s">
        <v>60</v>
      </c>
      <c r="J25" s="7">
        <v>10000</v>
      </c>
      <c r="K25" s="7" t="s">
        <v>42</v>
      </c>
    </row>
    <row r="27" spans="1:11" x14ac:dyDescent="0.3">
      <c r="I27" s="12" t="s">
        <v>56</v>
      </c>
      <c r="J27" s="13"/>
      <c r="K27" s="13"/>
    </row>
    <row r="28" spans="1:11" x14ac:dyDescent="0.3">
      <c r="I28" s="6" t="s">
        <v>61</v>
      </c>
      <c r="J28" s="7">
        <v>-25000</v>
      </c>
      <c r="K28" s="7" t="s">
        <v>9</v>
      </c>
    </row>
    <row r="29" spans="1:11" x14ac:dyDescent="0.3">
      <c r="I29" s="6" t="s">
        <v>62</v>
      </c>
      <c r="J29" s="7">
        <v>-50000</v>
      </c>
      <c r="K29" s="7" t="s">
        <v>9</v>
      </c>
    </row>
  </sheetData>
  <mergeCells count="14">
    <mergeCell ref="I22:K22"/>
    <mergeCell ref="I27:K27"/>
    <mergeCell ref="A8:C8"/>
    <mergeCell ref="E18:G18"/>
    <mergeCell ref="E4:G4"/>
    <mergeCell ref="I4:K4"/>
    <mergeCell ref="A15:C15"/>
    <mergeCell ref="A4:C4"/>
    <mergeCell ref="A24:C24"/>
    <mergeCell ref="I16:K16"/>
    <mergeCell ref="I10:K10"/>
    <mergeCell ref="A11:C11"/>
    <mergeCell ref="E13:G13"/>
    <mergeCell ref="A1:C1"/>
  </mergeCells>
  <dataValidations count="1">
    <dataValidation type="list" allowBlank="1" sqref="C9 C12 C13 C16 C17 C18 C19 C20 C21 C22 G14 G15 G16 G19 G20 G21 G22 G23 G24 K11 K12 K13 K14 K17 K18 K19 K20 K23 K24 K25" xr:uid="{00000000-0002-0000-0000-000000000000}">
      <formula1>"1 час,12 часов,24 часа,Рандом"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opLeftCell="A3" workbookViewId="0">
      <selection sqref="A1:B2"/>
    </sheetView>
  </sheetViews>
  <sheetFormatPr defaultRowHeight="14.4" x14ac:dyDescent="0.3"/>
  <cols>
    <col min="1" max="1" width="30" customWidth="1"/>
    <col min="2" max="2" width="10" customWidth="1"/>
    <col min="3" max="3" width="12" customWidth="1"/>
    <col min="5" max="5" width="30" customWidth="1"/>
    <col min="6" max="6" width="10" customWidth="1"/>
    <col min="7" max="7" width="12" customWidth="1"/>
    <col min="9" max="9" width="30" customWidth="1"/>
    <col min="10" max="10" width="10" customWidth="1"/>
    <col min="11" max="11" width="12" customWidth="1"/>
    <col min="13" max="14" width="15" customWidth="1"/>
  </cols>
  <sheetData>
    <row r="1" spans="1:14" x14ac:dyDescent="0.3">
      <c r="A1" s="17" t="s">
        <v>63</v>
      </c>
      <c r="B1" s="15"/>
      <c r="C1" s="16">
        <f>SUM(N3:N5)</f>
        <v>0</v>
      </c>
      <c r="D1" s="15"/>
    </row>
    <row r="2" spans="1:14" x14ac:dyDescent="0.3">
      <c r="A2" s="15"/>
      <c r="B2" s="15"/>
      <c r="C2" s="15"/>
      <c r="D2" s="15"/>
      <c r="M2" s="3" t="s">
        <v>64</v>
      </c>
      <c r="N2" s="3" t="s">
        <v>65</v>
      </c>
    </row>
    <row r="3" spans="1:14" x14ac:dyDescent="0.3">
      <c r="M3" s="8" t="s">
        <v>66</v>
      </c>
      <c r="N3" s="9">
        <f>SUM(C6,C7,C10,C13,C14,C17,C18,C19,C20,C21,C22,C23,C26)</f>
        <v>0</v>
      </c>
    </row>
    <row r="4" spans="1:14" x14ac:dyDescent="0.3">
      <c r="A4" s="3" t="s">
        <v>2</v>
      </c>
      <c r="B4" s="3" t="s">
        <v>67</v>
      </c>
      <c r="C4" s="3" t="s">
        <v>68</v>
      </c>
      <c r="E4" s="4" t="s">
        <v>5</v>
      </c>
      <c r="F4" s="4" t="s">
        <v>67</v>
      </c>
      <c r="G4" s="4" t="s">
        <v>68</v>
      </c>
      <c r="I4" s="5" t="s">
        <v>6</v>
      </c>
      <c r="J4" s="5" t="s">
        <v>67</v>
      </c>
      <c r="K4" s="5" t="s">
        <v>68</v>
      </c>
      <c r="M4" s="8" t="s">
        <v>69</v>
      </c>
      <c r="N4" s="9">
        <f>SUM(G6,G7,G8,G9,G10,G11,G12,G15,G16,G17,G20,G21,G22,G23,G24,G25)</f>
        <v>0</v>
      </c>
    </row>
    <row r="5" spans="1:14" x14ac:dyDescent="0.3">
      <c r="A5" s="12" t="s">
        <v>7</v>
      </c>
      <c r="B5" s="13"/>
      <c r="C5" s="13"/>
      <c r="E5" s="12" t="s">
        <v>7</v>
      </c>
      <c r="F5" s="13"/>
      <c r="G5" s="13"/>
      <c r="I5" s="12" t="s">
        <v>7</v>
      </c>
      <c r="J5" s="13"/>
      <c r="K5" s="13"/>
      <c r="M5" s="8" t="s">
        <v>70</v>
      </c>
      <c r="N5" s="9">
        <f>SUM(K6,K7,K8,K9,K12,K13,K14,K15,K18,K19,K20,K21,K24,K25,K26,K29,K30)</f>
        <v>0</v>
      </c>
    </row>
    <row r="6" spans="1:14" x14ac:dyDescent="0.3">
      <c r="A6" s="6" t="str">
        <f>Настройки!A5</f>
        <v>Текст (сообщение)</v>
      </c>
      <c r="B6" s="10">
        <v>0</v>
      </c>
      <c r="C6" s="11">
        <f>B6 * Настройки!B5 * Настройки!$D$1</f>
        <v>0</v>
      </c>
      <c r="E6" s="6" t="str">
        <f>Настройки!E5</f>
        <v>Фото</v>
      </c>
      <c r="F6" s="10">
        <v>0</v>
      </c>
      <c r="G6" s="11">
        <f>F6 * Настройки!F5 * Настройки!$D$1</f>
        <v>0</v>
      </c>
      <c r="I6" s="6" t="str">
        <f>Настройки!I5</f>
        <v>Ответ (ты ответил)</v>
      </c>
      <c r="J6" s="10">
        <v>0</v>
      </c>
      <c r="K6" s="11">
        <f>J6 * Настройки!J5 * Настройки!$D$1</f>
        <v>0</v>
      </c>
    </row>
    <row r="7" spans="1:14" x14ac:dyDescent="0.3">
      <c r="A7" s="6" t="str">
        <f>Настройки!A6</f>
        <v>Эмодзи (без текста)</v>
      </c>
      <c r="B7" s="10">
        <v>0</v>
      </c>
      <c r="C7" s="11">
        <f>B7 * Настройки!B6 * Настройки!$D$1</f>
        <v>0</v>
      </c>
      <c r="E7" s="6" t="str">
        <f>Настройки!E6</f>
        <v>Фото (2+ в спец. ветке)</v>
      </c>
      <c r="F7" s="10">
        <v>0</v>
      </c>
      <c r="G7" s="11">
        <f>F7 * Настройки!F6 * Настройки!$D$1</f>
        <v>0</v>
      </c>
      <c r="I7" s="6" t="str">
        <f>Настройки!I6</f>
        <v>Ответ (тебе ответили)</v>
      </c>
      <c r="J7" s="10">
        <v>0</v>
      </c>
      <c r="K7" s="11">
        <f>J7 * Настройки!J6 * Настройки!$D$1</f>
        <v>0</v>
      </c>
    </row>
    <row r="8" spans="1:14" x14ac:dyDescent="0.3">
      <c r="E8" s="6" t="str">
        <f>Настройки!E7</f>
        <v>Видео обычное</v>
      </c>
      <c r="F8" s="10">
        <v>0</v>
      </c>
      <c r="G8" s="11">
        <f>F8 * Настройки!F7 * Настройки!$D$1</f>
        <v>0</v>
      </c>
      <c r="I8" s="6" t="str">
        <f>Настройки!I7</f>
        <v>Лайк (ты поставил)</v>
      </c>
      <c r="J8" s="10">
        <v>0</v>
      </c>
      <c r="K8" s="11">
        <f>J8 * Настройки!J7 * Настройки!$D$1</f>
        <v>0</v>
      </c>
    </row>
    <row r="9" spans="1:14" x14ac:dyDescent="0.3">
      <c r="A9" s="12" t="s">
        <v>17</v>
      </c>
      <c r="B9" s="13"/>
      <c r="C9" s="13"/>
      <c r="E9" s="6" t="str">
        <f>Настройки!E8</f>
        <v>Видео кружок</v>
      </c>
      <c r="F9" s="10">
        <v>0</v>
      </c>
      <c r="G9" s="11">
        <f>F9 * Настройки!F8 * Настройки!$D$1</f>
        <v>0</v>
      </c>
      <c r="I9" s="6" t="str">
        <f>Настройки!I8</f>
        <v>Лайк (тебе поставили)</v>
      </c>
      <c r="J9" s="10">
        <v>0</v>
      </c>
      <c r="K9" s="11">
        <f>J9 * Настройки!J8 * Настройки!$D$1</f>
        <v>0</v>
      </c>
    </row>
    <row r="10" spans="1:14" x14ac:dyDescent="0.3">
      <c r="A10" s="6" t="str">
        <f>Настройки!A9</f>
        <v>Писатель (&gt; 50 симв)</v>
      </c>
      <c r="B10" s="10">
        <v>0</v>
      </c>
      <c r="C10" s="11">
        <f>B10 * Настройки!B9 * Настройки!$D$1</f>
        <v>0</v>
      </c>
      <c r="E10" s="6" t="str">
        <f>Настройки!E9</f>
        <v>Аудио / Ссылка</v>
      </c>
      <c r="F10" s="10">
        <v>0</v>
      </c>
      <c r="G10" s="11">
        <f>F10 * Настройки!F9 * Настройки!$D$1</f>
        <v>0</v>
      </c>
    </row>
    <row r="11" spans="1:14" x14ac:dyDescent="0.3">
      <c r="E11" s="6" t="str">
        <f>Настройки!E10</f>
        <v>Голосовое (Voice)</v>
      </c>
      <c r="F11" s="10">
        <v>0</v>
      </c>
      <c r="G11" s="11">
        <f>F11 * Настройки!F10 * Настройки!$D$1</f>
        <v>0</v>
      </c>
      <c r="I11" s="12" t="s">
        <v>17</v>
      </c>
      <c r="J11" s="13"/>
      <c r="K11" s="13"/>
    </row>
    <row r="12" spans="1:14" x14ac:dyDescent="0.3">
      <c r="A12" s="12" t="s">
        <v>24</v>
      </c>
      <c r="B12" s="13"/>
      <c r="C12" s="13"/>
      <c r="E12" s="6" t="str">
        <f>Настройки!E11</f>
        <v>GIF-анимация</v>
      </c>
      <c r="F12" s="10">
        <v>0</v>
      </c>
      <c r="G12" s="11">
        <f>F12 * Настройки!F11 * Настройки!$D$1</f>
        <v>0</v>
      </c>
      <c r="I12" s="6" t="str">
        <f>Настройки!I11</f>
        <v>Острый язычок (&gt;2 репостов)</v>
      </c>
      <c r="J12" s="10">
        <v>0</v>
      </c>
      <c r="K12" s="11">
        <f>J12 * Настройки!J11 * Настройки!$D$1</f>
        <v>0</v>
      </c>
    </row>
    <row r="13" spans="1:14" x14ac:dyDescent="0.3">
      <c r="A13" s="6" t="str">
        <f>Настройки!A12</f>
        <v>Основа чата (10 сообщ)</v>
      </c>
      <c r="B13" s="10">
        <v>0</v>
      </c>
      <c r="C13" s="11">
        <f>B13 * Настройки!B12 * Настройки!$D$1</f>
        <v>0</v>
      </c>
      <c r="I13" s="6" t="str">
        <f>Настройки!I12</f>
        <v>Вирусный пост (&gt;2 лайков)</v>
      </c>
      <c r="J13" s="10">
        <v>0</v>
      </c>
      <c r="K13" s="11">
        <f>J13 * Настройки!J12 * Настройки!$D$1</f>
        <v>0</v>
      </c>
    </row>
    <row r="14" spans="1:14" x14ac:dyDescent="0.3">
      <c r="A14" s="6" t="str">
        <f>Настройки!A13</f>
        <v>Эмоциональный (10 эмодзи)</v>
      </c>
      <c r="B14" s="10">
        <v>0</v>
      </c>
      <c r="C14" s="11">
        <f>B14 * Настройки!B13 * Настройки!$D$1</f>
        <v>0</v>
      </c>
      <c r="E14" s="12" t="s">
        <v>17</v>
      </c>
      <c r="F14" s="13"/>
      <c r="G14" s="13"/>
      <c r="I14" s="6" t="str">
        <f>Настройки!I13</f>
        <v>Хит (4 лайка)</v>
      </c>
      <c r="J14" s="10">
        <v>0</v>
      </c>
      <c r="K14" s="11">
        <f>J14 * Настройки!J13 * Настройки!$D$1</f>
        <v>0</v>
      </c>
    </row>
    <row r="15" spans="1:14" x14ac:dyDescent="0.3">
      <c r="E15" s="6" t="str">
        <f>Настройки!E14</f>
        <v>Иллюстратор (Текст+Фото)</v>
      </c>
      <c r="F15" s="10">
        <v>0</v>
      </c>
      <c r="G15" s="11">
        <f>F15 * Настройки!F14 * Настройки!$D$1</f>
        <v>0</v>
      </c>
      <c r="I15" s="6" t="str">
        <f>Настройки!I14</f>
        <v>Легенда (6+ лайков)</v>
      </c>
      <c r="J15" s="10">
        <v>0</v>
      </c>
      <c r="K15" s="11">
        <f>J15 * Настройки!J14 * Настройки!$D$1</f>
        <v>0</v>
      </c>
    </row>
    <row r="16" spans="1:14" x14ac:dyDescent="0.3">
      <c r="A16" s="12" t="s">
        <v>33</v>
      </c>
      <c r="B16" s="13"/>
      <c r="C16" s="13"/>
      <c r="E16" s="6" t="str">
        <f>Настройки!E15</f>
        <v>Рецензент (Видео+Текст)</v>
      </c>
      <c r="F16" s="10">
        <v>0</v>
      </c>
      <c r="G16" s="11">
        <f>F16 * Настройки!F15 * Настройки!$D$1</f>
        <v>0</v>
      </c>
    </row>
    <row r="17" spans="1:11" x14ac:dyDescent="0.3">
      <c r="A17" s="6" t="str">
        <f>Настройки!A16</f>
        <v>Магия чисел (11:11 и т.д.)</v>
      </c>
      <c r="B17" s="10">
        <v>0</v>
      </c>
      <c r="C17" s="11">
        <f>B17 * Настройки!B16 * Настройки!$D$1</f>
        <v>0</v>
      </c>
      <c r="E17" s="6" t="str">
        <f>Настройки!E16</f>
        <v>Диджей (Плейлист)</v>
      </c>
      <c r="F17" s="10">
        <v>0</v>
      </c>
      <c r="G17" s="11">
        <f>F17 * Настройки!F16 * Настройки!$D$1</f>
        <v>0</v>
      </c>
      <c r="I17" s="12" t="s">
        <v>24</v>
      </c>
      <c r="J17" s="13"/>
      <c r="K17" s="13"/>
    </row>
    <row r="18" spans="1:11" x14ac:dyDescent="0.3">
      <c r="A18" s="6" t="str">
        <f>Настройки!A17</f>
        <v>Ранняя пташка (05:00)</v>
      </c>
      <c r="B18" s="10">
        <v>0</v>
      </c>
      <c r="C18" s="11">
        <f>B18 * Настройки!B17 * Настройки!$D$1</f>
        <v>0</v>
      </c>
      <c r="I18" s="6" t="str">
        <f>Настройки!I17</f>
        <v>Болтун (20 твоих ответов)</v>
      </c>
      <c r="J18" s="10">
        <v>0</v>
      </c>
      <c r="K18" s="11">
        <f>J18 * Настройки!J17 * Настройки!$D$1</f>
        <v>0</v>
      </c>
    </row>
    <row r="19" spans="1:11" x14ac:dyDescent="0.3">
      <c r="A19" s="6" t="str">
        <f>Настройки!A18</f>
        <v>Лев Толстой (&gt;1000 симв)</v>
      </c>
      <c r="B19" s="10">
        <v>0</v>
      </c>
      <c r="C19" s="11">
        <f>B19 * Настройки!B18 * Настройки!$D$1</f>
        <v>0</v>
      </c>
      <c r="E19" s="12" t="s">
        <v>24</v>
      </c>
      <c r="F19" s="13"/>
      <c r="G19" s="13"/>
      <c r="I19" s="6" t="str">
        <f>Настройки!I18</f>
        <v>Центр (20 ответов тебе)</v>
      </c>
      <c r="J19" s="10">
        <v>0</v>
      </c>
      <c r="K19" s="11">
        <f>J19 * Настройки!J18 * Настройки!$D$1</f>
        <v>0</v>
      </c>
    </row>
    <row r="20" spans="1:11" x14ac:dyDescent="0.3">
      <c r="A20" s="6" t="str">
        <f>Настройки!A19</f>
        <v>Юбилейное сообщение</v>
      </c>
      <c r="B20" s="10">
        <v>0</v>
      </c>
      <c r="C20" s="11">
        <f>B20 * Настройки!B19 * Настройки!$D$1</f>
        <v>0</v>
      </c>
      <c r="E20" s="6" t="str">
        <f>Настройки!E19</f>
        <v>Фотограф (3+ фото)</v>
      </c>
      <c r="F20" s="10">
        <v>0</v>
      </c>
      <c r="G20" s="11">
        <f>F20 * Настройки!F19 * Настройки!$D$1</f>
        <v>0</v>
      </c>
      <c r="I20" s="6" t="str">
        <f>Настройки!I19</f>
        <v>Щедрая душа (5 лайков)</v>
      </c>
      <c r="J20" s="10">
        <v>0</v>
      </c>
      <c r="K20" s="11">
        <f>J20 * Настройки!J19 * Настройки!$D$1</f>
        <v>0</v>
      </c>
    </row>
    <row r="21" spans="1:11" x14ac:dyDescent="0.3">
      <c r="A21" s="6" t="str">
        <f>Настройки!A20</f>
        <v>Резонанс (Секретное слово)</v>
      </c>
      <c r="B21" s="10">
        <v>0</v>
      </c>
      <c r="C21" s="11">
        <f>B21 * Настройки!B20 * Настройки!$D$1</f>
        <v>0</v>
      </c>
      <c r="E21" s="6" t="str">
        <f>Настройки!E20</f>
        <v>Режиссер (2 видео)</v>
      </c>
      <c r="F21" s="10">
        <v>0</v>
      </c>
      <c r="G21" s="11">
        <f>F21 * Настройки!F20 * Настройки!$D$1</f>
        <v>0</v>
      </c>
      <c r="I21" s="6" t="str">
        <f>Настройки!I20</f>
        <v>Любимчик (10 лайков тебе)</v>
      </c>
      <c r="J21" s="10">
        <v>0</v>
      </c>
      <c r="K21" s="11">
        <f>J21 * Настройки!J20 * Настройки!$D$1</f>
        <v>0</v>
      </c>
    </row>
    <row r="22" spans="1:11" x14ac:dyDescent="0.3">
      <c r="A22" s="6" t="str">
        <f>Настройки!A21</f>
        <v>Критический удар (Шанс 2%)</v>
      </c>
      <c r="B22" s="10">
        <v>0</v>
      </c>
      <c r="C22" s="11">
        <f>B22 * Настройки!B21 * Настройки!$D$1</f>
        <v>0</v>
      </c>
      <c r="E22" s="6" t="str">
        <f>Настройки!E21</f>
        <v>Лицом торгуешь (5 кружков)</v>
      </c>
      <c r="F22" s="10">
        <v>0</v>
      </c>
      <c r="G22" s="11">
        <f>F22 * Настройки!F21 * Настройки!$D$1</f>
        <v>0</v>
      </c>
    </row>
    <row r="23" spans="1:11" x14ac:dyDescent="0.3">
      <c r="A23" s="6" t="str">
        <f>Настройки!A22</f>
        <v>Амбассадор вежливости</v>
      </c>
      <c r="B23" s="10">
        <v>0</v>
      </c>
      <c r="C23" s="11">
        <f>B23 * Настройки!B22 * Настройки!$D$1</f>
        <v>0</v>
      </c>
      <c r="E23" s="6" t="str">
        <f>Настройки!E22</f>
        <v>Меломан (5 треков)</v>
      </c>
      <c r="F23" s="10">
        <v>0</v>
      </c>
      <c r="G23" s="11">
        <f>F23 * Настройки!F22 * Настройки!$D$1</f>
        <v>0</v>
      </c>
      <c r="I23" s="12" t="s">
        <v>33</v>
      </c>
      <c r="J23" s="13"/>
      <c r="K23" s="13"/>
    </row>
    <row r="24" spans="1:11" x14ac:dyDescent="0.3">
      <c r="E24" s="6" t="str">
        <f>Настройки!E23</f>
        <v>Радио (4 войса)</v>
      </c>
      <c r="F24" s="10">
        <v>0</v>
      </c>
      <c r="G24" s="11">
        <f>F24 * Настройки!F23 * Настройки!$D$1</f>
        <v>0</v>
      </c>
      <c r="I24" s="6" t="str">
        <f>Настройки!I23</f>
        <v>Хлеб-соль (Ответ новичку)</v>
      </c>
      <c r="J24" s="10">
        <v>0</v>
      </c>
      <c r="K24" s="11">
        <f>J24 * Настройки!J23 * Настройки!$D$1</f>
        <v>0</v>
      </c>
    </row>
    <row r="25" spans="1:11" x14ac:dyDescent="0.3">
      <c r="A25" s="12" t="s">
        <v>56</v>
      </c>
      <c r="B25" s="13"/>
      <c r="C25" s="13"/>
      <c r="E25" s="6" t="str">
        <f>Настройки!E24</f>
        <v>Гифошная (10 гиф)</v>
      </c>
      <c r="F25" s="10">
        <v>0</v>
      </c>
      <c r="G25" s="11">
        <f>F25 * Настройки!F24 * Настройки!$D$1</f>
        <v>0</v>
      </c>
      <c r="I25" s="6" t="str">
        <f>Настройки!I24</f>
        <v>Пинг-понг (Ответ &lt; 10 сек)</v>
      </c>
      <c r="J25" s="10">
        <v>0</v>
      </c>
      <c r="K25" s="11">
        <f>J25 * Настройки!J24 * Настройки!$D$1</f>
        <v>0</v>
      </c>
    </row>
    <row r="26" spans="1:11" x14ac:dyDescent="0.3">
      <c r="A26" s="6" t="str">
        <f>Настройки!A25</f>
        <v>Копипаст</v>
      </c>
      <c r="B26" s="10">
        <v>0</v>
      </c>
      <c r="C26" s="11">
        <f>B26 * Настройки!B25 * Настройки!$D$1</f>
        <v>0</v>
      </c>
      <c r="I26" s="6" t="str">
        <f>Настройки!I25</f>
        <v>Некромант (Ответ на пост &gt;48ч)</v>
      </c>
      <c r="J26" s="10">
        <v>0</v>
      </c>
      <c r="K26" s="11">
        <f>J26 * Настройки!J25 * Настройки!$D$1</f>
        <v>0</v>
      </c>
    </row>
    <row r="28" spans="1:11" x14ac:dyDescent="0.3">
      <c r="I28" s="12" t="s">
        <v>56</v>
      </c>
      <c r="J28" s="13"/>
      <c r="K28" s="13"/>
    </row>
    <row r="29" spans="1:11" x14ac:dyDescent="0.3">
      <c r="I29" s="6" t="str">
        <f>Настройки!I28</f>
        <v>Не в ту дверь (Нарушение)</v>
      </c>
      <c r="J29" s="10">
        <v>0</v>
      </c>
      <c r="K29" s="11">
        <f>J29 * Настройки!J28 * Настройки!$D$1</f>
        <v>0</v>
      </c>
    </row>
    <row r="30" spans="1:11" x14ac:dyDescent="0.3">
      <c r="I30" s="6" t="str">
        <f>Настройки!I29</f>
        <v>Удаление (Токсик)</v>
      </c>
      <c r="J30" s="10">
        <v>0</v>
      </c>
      <c r="K30" s="11">
        <f>J30 * Настройки!J29 * Настройки!$D$1</f>
        <v>0</v>
      </c>
    </row>
  </sheetData>
  <mergeCells count="15">
    <mergeCell ref="I28:K28"/>
    <mergeCell ref="E5:G5"/>
    <mergeCell ref="C1:D2"/>
    <mergeCell ref="A12:C12"/>
    <mergeCell ref="I5:K5"/>
    <mergeCell ref="I23:K23"/>
    <mergeCell ref="A9:C9"/>
    <mergeCell ref="I17:K17"/>
    <mergeCell ref="A1:B2"/>
    <mergeCell ref="A16:C16"/>
    <mergeCell ref="A25:C25"/>
    <mergeCell ref="I11:K11"/>
    <mergeCell ref="E19:G19"/>
    <mergeCell ref="E14:G14"/>
    <mergeCell ref="A5:C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Настройки</vt:lpstr>
      <vt:lpstr>Симулятор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клименко</cp:lastModifiedBy>
  <dcterms:created xsi:type="dcterms:W3CDTF">2026-03-20T05:39:27Z</dcterms:created>
  <dcterms:modified xsi:type="dcterms:W3CDTF">2026-03-20T05:53:58Z</dcterms:modified>
</cp:coreProperties>
</file>