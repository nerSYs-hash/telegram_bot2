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bot_2\telegram_bot2\"/>
    </mc:Choice>
  </mc:AlternateContent>
  <xr:revisionPtr revIDLastSave="0" documentId="13_ncr:1_{DEAEBDE7-3490-4F15-819A-DC683A0A12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Настройки" sheetId="1" r:id="rId1"/>
    <sheet name="Симулятор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2" l="1"/>
  <c r="I30" i="2"/>
  <c r="K29" i="2"/>
  <c r="I29" i="2"/>
  <c r="K26" i="2"/>
  <c r="I26" i="2"/>
  <c r="C26" i="2"/>
  <c r="A26" i="2"/>
  <c r="K25" i="2"/>
  <c r="I25" i="2"/>
  <c r="G25" i="2"/>
  <c r="E25" i="2"/>
  <c r="K24" i="2"/>
  <c r="I24" i="2"/>
  <c r="G24" i="2"/>
  <c r="E24" i="2"/>
  <c r="G23" i="2"/>
  <c r="E23" i="2"/>
  <c r="C23" i="2"/>
  <c r="A23" i="2"/>
  <c r="O22" i="2"/>
  <c r="M22" i="2"/>
  <c r="G22" i="2"/>
  <c r="E22" i="2"/>
  <c r="C22" i="2"/>
  <c r="A22" i="2"/>
  <c r="K21" i="2"/>
  <c r="I21" i="2"/>
  <c r="G21" i="2"/>
  <c r="E21" i="2"/>
  <c r="C21" i="2"/>
  <c r="A21" i="2"/>
  <c r="K20" i="2"/>
  <c r="I20" i="2"/>
  <c r="G20" i="2"/>
  <c r="E20" i="2"/>
  <c r="C20" i="2"/>
  <c r="A20" i="2"/>
  <c r="O19" i="2"/>
  <c r="M19" i="2"/>
  <c r="K19" i="2"/>
  <c r="I19" i="2"/>
  <c r="C19" i="2"/>
  <c r="A19" i="2"/>
  <c r="O18" i="2"/>
  <c r="M18" i="2"/>
  <c r="K18" i="2"/>
  <c r="I18" i="2"/>
  <c r="C18" i="2"/>
  <c r="A18" i="2"/>
  <c r="G17" i="2"/>
  <c r="E17" i="2"/>
  <c r="C17" i="2"/>
  <c r="A17" i="2"/>
  <c r="G16" i="2"/>
  <c r="E16" i="2"/>
  <c r="O15" i="2"/>
  <c r="M15" i="2"/>
  <c r="K15" i="2"/>
  <c r="I15" i="2"/>
  <c r="G15" i="2"/>
  <c r="E15" i="2"/>
  <c r="O14" i="2"/>
  <c r="M14" i="2"/>
  <c r="K14" i="2"/>
  <c r="I14" i="2"/>
  <c r="C14" i="2"/>
  <c r="A14" i="2"/>
  <c r="K13" i="2"/>
  <c r="I13" i="2"/>
  <c r="C13" i="2"/>
  <c r="A13" i="2"/>
  <c r="K12" i="2"/>
  <c r="I12" i="2"/>
  <c r="G12" i="2"/>
  <c r="E12" i="2"/>
  <c r="O11" i="2"/>
  <c r="M11" i="2"/>
  <c r="G11" i="2"/>
  <c r="E11" i="2"/>
  <c r="O10" i="2"/>
  <c r="M10" i="2"/>
  <c r="G10" i="2"/>
  <c r="E10" i="2"/>
  <c r="C10" i="2"/>
  <c r="A10" i="2"/>
  <c r="K9" i="2"/>
  <c r="I9" i="2"/>
  <c r="G9" i="2"/>
  <c r="E9" i="2"/>
  <c r="K8" i="2"/>
  <c r="I8" i="2"/>
  <c r="G8" i="2"/>
  <c r="E8" i="2"/>
  <c r="O7" i="2"/>
  <c r="M7" i="2"/>
  <c r="K7" i="2"/>
  <c r="I7" i="2"/>
  <c r="G7" i="2"/>
  <c r="E7" i="2"/>
  <c r="C7" i="2"/>
  <c r="A7" i="2"/>
  <c r="O6" i="2"/>
  <c r="M6" i="2"/>
  <c r="K6" i="2"/>
  <c r="R5" i="2" s="1"/>
  <c r="I6" i="2"/>
  <c r="G6" i="2"/>
  <c r="R4" i="2" s="1"/>
  <c r="E6" i="2"/>
  <c r="C6" i="2"/>
  <c r="A6" i="2"/>
  <c r="R3" i="2" l="1"/>
  <c r="R6" i="2"/>
  <c r="C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илья клименко</author>
  </authors>
  <commentList>
    <comment ref="A5" authorId="0" shapeId="0" xr:uid="{23356265-DD12-426E-8705-BAF70CA4DE42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• : Любой текст длиннее 2 слов</t>
        </r>
      </text>
    </comment>
    <comment ref="E5" authorId="0" shapeId="0" xr:uid="{FC83FE88-5064-4EB6-BB0D-7DCC933B9696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Отправка одной фотографии.</t>
        </r>
      </text>
    </comment>
    <comment ref="I5" authorId="0" shapeId="0" xr:uid="{972DB3A5-9B8F-42F9-9CF7-C5E97AE4BC27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Нажал Reply на чужое сообщение.</t>
        </r>
      </text>
    </comment>
    <comment ref="M5" authorId="0" shapeId="0" xr:uid="{7CB22FC6-8468-4603-B8FA-9A0283D2E781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В ветке КиноON. Использовать скрытый текст (телеграм-спойлер ||текст||).</t>
        </r>
      </text>
    </comment>
    <comment ref="A6" authorId="0" shapeId="0" xr:uid="{4DE63A04-565D-4197-8F7C-1AE95635BC44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Сообщение, состоящее только из смайлика</t>
        </r>
      </text>
    </comment>
    <comment ref="E6" authorId="0" shapeId="0" xr:uid="{2B1A7FC4-26CC-4C16-BF42-26A0E90F0D9F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• Отправка альбома (от 2 фото) в ветках типа ПИТОМЦЫ.</t>
        </r>
      </text>
    </comment>
    <comment ref="I6" authorId="0" shapeId="0" xr:uid="{A843A253-21E4-4188-9A5E-B20ECA17A854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Кто-то сделал Reply на твое сообщение (начисляется тебе задним числом).</t>
        </r>
      </text>
    </comment>
    <comment ref="M6" authorId="0" shapeId="0" xr:uid="{B1EF1A75-3877-4AFF-8C74-6DC8E155132A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В ветке Встречи. Написать сообщение, содержащее маркеры времени (сегодня, завтра) и точное время (например, 19:30).</t>
        </r>
      </text>
    </comment>
    <comment ref="E7" authorId="0" shapeId="0" xr:uid="{2D2E8037-46DA-4D11-A0BE-BF11F961FD24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Загрузка обычного видеофайла.</t>
        </r>
      </text>
    </comment>
    <comment ref="I7" authorId="0" shapeId="0" xr:uid="{9A6177FC-FD7A-4921-A1FC-B8E6590A87E1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Ты нажал на любую реакцию.</t>
        </r>
      </text>
    </comment>
    <comment ref="E8" authorId="0" shapeId="0" xr:uid="{405A778B-048A-4BF0-B172-E0E9C6424AEA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Запись Video Note (кружочка) с камеры. Самая дорогая база, т.к. требует личного участия.</t>
        </r>
      </text>
    </comment>
    <comment ref="I8" authorId="0" shapeId="0" xr:uid="{11587EFF-9898-49DD-A3B1-44CD0AE238D0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Кто-то поставил реакцию на твой пост (начисляется тебе задним числом).</t>
        </r>
      </text>
    </comment>
    <comment ref="A9" authorId="0" shapeId="0" xr:uid="{6179498D-73CC-40F7-8EE1-2323B35847DA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Написал текст длиннее 50 символов.</t>
        </r>
      </text>
    </comment>
    <comment ref="E9" authorId="0" shapeId="0" xr:uid="{762317F4-469A-43AF-A8D4-F0594FC716A7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Отправка URL-ссылки или аудиофайла.</t>
        </r>
      </text>
    </comment>
    <comment ref="M9" authorId="0" shapeId="0" xr:uid="{6C916296-2A7D-4870-B3C4-6204A04A6D68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В ветке ЗадротыON. Отметить через @ сразу трех и более разных людей в одном сообщении.</t>
        </r>
      </text>
    </comment>
    <comment ref="E10" authorId="0" shapeId="0" xr:uid="{36EAA1F8-00A5-4691-8D79-1079A461D484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Запись голосового сообщения.</t>
        </r>
      </text>
    </comment>
    <comment ref="M10" authorId="0" shapeId="0" xr:uid="{5AF1D8BA-ED33-4392-817A-E62308A5A13D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В ветке НьюзON. Отправить ссылку + свой авторский текст длиннее 20 слов.</t>
        </r>
      </text>
    </comment>
    <comment ref="E11" authorId="0" shapeId="0" xr:uid="{ADA3B5AD-E585-44FE-89E2-96E09FB0334C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Отправка гифки.</t>
        </r>
      </text>
    </comment>
    <comment ref="I11" authorId="0" shapeId="0" xr:uid="{08B34591-CF00-4F04-A722-9BEF12866ECE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]: На твое сообщение ответили (Reply) больше 2 раз разные люди.</t>
        </r>
      </text>
    </comment>
    <comment ref="A12" authorId="0" shapeId="0" xr:uid="{87B304FA-D0AB-4044-ACED-46F09E9C4EE9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Написать 10 сообщений за сутки</t>
        </r>
      </text>
    </comment>
    <comment ref="I12" authorId="0" shapeId="0" xr:uid="{3A06F269-0FC6-46DB-9243-6244EF5AA6F6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Твое сообщение собрало 3 лайка.</t>
        </r>
      </text>
    </comment>
    <comment ref="A13" authorId="0" shapeId="0" xr:uid="{66E89BE7-892A-4320-9852-39060441780D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Отправить 10 отдельных эмодзи за сутки.</t>
        </r>
      </text>
    </comment>
    <comment ref="I13" authorId="0" shapeId="0" xr:uid="{27C8716A-11E7-46E8-BD5A-71D94E661683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Твое сообщение собрало 4 лайка.</t>
        </r>
      </text>
    </comment>
    <comment ref="M13" authorId="0" shapeId="0" xr:uid="{C8907BC2-69D1-4425-A8AC-2F083CE6311A}">
      <text>
        <r>
          <rPr>
            <b/>
            <sz val="9"/>
            <color indexed="81"/>
            <rFont val="Tahoma"/>
            <charset val="1"/>
          </rPr>
          <t>илья клименко:</t>
        </r>
        <r>
          <rPr>
            <sz val="9"/>
            <color indexed="81"/>
            <rFont val="Tahoma"/>
            <charset val="1"/>
          </rPr>
          <t xml:space="preserve">
В ветке ПлюсON (Здоровье). Написать развернутый ответ (&gt;15 слов) на чужой вопрос в период с 02:00 до 06:00 по МСК.</t>
        </r>
      </text>
    </comment>
    <comment ref="E14" authorId="0" shapeId="0" xr:uid="{C8E72B8E-0F75-4751-B18F-2691829AD111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Прикрепил фото + написал текст длиннее 50 символов в одном сообщении.</t>
        </r>
      </text>
    </comment>
    <comment ref="I14" authorId="0" shapeId="0" xr:uid="{494756C7-DA79-4D34-9561-54A11FDAF07D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Твое сообщение собрало 6 и более лайков.</t>
        </r>
      </text>
    </comment>
    <comment ref="M14" authorId="0" shapeId="0" xr:uid="{0AED470B-5F61-4ED4-80A5-B4997FC35A60}">
      <text>
        <r>
          <rPr>
            <b/>
            <sz val="9"/>
            <color indexed="81"/>
            <rFont val="Tahoma"/>
            <charset val="1"/>
          </rPr>
          <t>илья клименко:</t>
        </r>
        <r>
          <rPr>
            <sz val="9"/>
            <color indexed="81"/>
            <rFont val="Tahoma"/>
            <charset val="1"/>
          </rPr>
          <t xml:space="preserve">
• Суть: Если пользователь ставит реакцию ❤️ или 🔥 на 3 разные анкеты в течение 24 часов, он получает награду. Это стимулирует людей листать анкеты и поддерживать авторов.
• Награда: + 20 💎 (Коэф: 10000).
• Частота: 1 раз в 24 часа.
</t>
        </r>
      </text>
    </comment>
    <comment ref="E15" authorId="0" shapeId="0" xr:uid="{16534D3C-A916-46B6-AB2B-B26713E4F985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Прикрепил видео + написал текст длиннее 100 слов.</t>
        </r>
      </text>
    </comment>
    <comment ref="A16" authorId="0" shapeId="0" xr:uid="{2891F49F-6EA6-452B-8FDC-54867FAC4757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Отправить сообщение ровно в 11:11, 22:22, 00:00 или 12:34.</t>
        </r>
      </text>
    </comment>
    <comment ref="E16" authorId="0" shapeId="0" xr:uid="{6C94D9E7-A2C9-427E-8653-9B4DD14C059C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Отправил ссылку, которую бот распознал как плейлист (Spotify, Яндекс, VK Музыка).</t>
        </r>
      </text>
    </comment>
    <comment ref="A17" authorId="0" shapeId="0" xr:uid="{C36D8377-DBBC-4EF4-97D6-7DEC37D332B2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Написать самое первое сообщение в чате после 05:00 утра.</t>
        </r>
      </text>
    </comment>
    <comment ref="I17" authorId="0" shapeId="0" xr:uid="{72BBA486-C72B-43EF-A63F-0D5E60C24D0E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Ответить другим людям (Reply) 20 раз за час.</t>
        </r>
      </text>
    </comment>
    <comment ref="M17" authorId="0" shapeId="0" xr:uid="{4F9FCC4A-AF64-43CD-A64E-9DC32B6F150F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В любой ветке. Если 5 разных людей подряд отправляют одинаковый эмодзи (флешмоб) — бонус получают все пятеро.</t>
        </r>
      </text>
    </comment>
    <comment ref="A18" authorId="0" shapeId="0" xr:uid="{EF74682C-CF3D-46A3-8379-0FCD0E051797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Написать мега-лонгрид длиннее 1000 символов (без ссылок).</t>
        </r>
      </text>
    </comment>
    <comment ref="I18" authorId="0" shapeId="0" xr:uid="{85FE4C0F-FD6E-4130-96B7-E724718196FB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Получить 20 ответов на свои сообщения от других людей за полдня.</t>
        </r>
      </text>
    </comment>
    <comment ref="M18" authorId="0" shapeId="0" xr:uid="{E3513836-A028-4435-B637-00AAB12D3E07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В ветке МемасON. Картинка собрала 15+ лайков от разных людей за 1 час.</t>
        </r>
      </text>
    </comment>
    <comment ref="A19" authorId="0" shapeId="0" xr:uid="{7FCAC53A-6F63-4324-BEA9-E3BBB91BA9E0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Отправить ровно 100-е, 500-е или 1000-е сообщение в чате за текущие сутки.</t>
        </r>
      </text>
    </comment>
    <comment ref="E19" authorId="0" shapeId="0" xr:uid="{5389F454-C8BE-483D-B23B-3936669EDFE9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Отправить 3 и более фото за сутки.</t>
        </r>
      </text>
    </comment>
    <comment ref="I19" authorId="0" shapeId="0" xr:uid="{162B195C-1461-4AAD-8106-791922F09734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Поставить 5 лайков другим людям за час.</t>
        </r>
      </text>
    </comment>
    <comment ref="A20" authorId="0" shapeId="0" xr:uid="{C5429340-DD59-4849-A362-B28FB842D517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Употребить в тексте случайно загаданное ботом слово недели (например, "кофе").</t>
        </r>
      </text>
    </comment>
    <comment ref="E20" authorId="0" shapeId="0" xr:uid="{9750B388-6AA0-438C-BF21-47A89C526C59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Отправить 2 видео за сутки в спец. ветках (Животные, Кухарка, Задроты).</t>
        </r>
      </text>
    </comment>
    <comment ref="I20" authorId="0" shapeId="0" xr:uid="{737F441E-CDCD-40B3-95F8-5D21B5533526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Получить 10 лайков на свои посты за час.</t>
        </r>
      </text>
    </comment>
    <comment ref="A21" authorId="0" shapeId="0" xr:uid="{9F52F8EB-CB84-408E-A432-842D46A6BD38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Базовый 2% шанс при отправке любого сообщения сорвать джекпот (х10 к базе).</t>
        </r>
      </text>
    </comment>
    <comment ref="E21" authorId="0" shapeId="0" xr:uid="{626D1EF8-9615-406D-9050-27B674E538AE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Записать 5 видео-кружков за полдня.</t>
        </r>
      </text>
    </comment>
    <comment ref="M21" authorId="0" shapeId="0" xr:uid="{8D0216CB-874F-459B-8D49-4B61268FB1ED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Бот дает подсказку в Главный чат. Нужно первым добежать до загаданной ветки и написать туда сообщение.
Перебегушка» (Блуждающая Аномалия)
Твоя идея с лягушкой, которая скачет по веткам — это абсолютный хит. Это создаст эффект FOMO (страх упущенной выгоды) и заставит людей заглядывать в те ветки, куда они обычно не заходят.
Как это работает:
Давай назовем ее «Блуждающий Пульс» (или Золотая Лягушка 🐸, как тебе больше нравится).
1. Прыжок: Раз в несколько часов (рандомно) бот в тихую выбирает одну из веток форума. Например, ЗадротыON.
2. Подсказка в Главный чат: Бот пишет в Главный чат загадку:
"🐸 Ква! Золотая лягушка куда-то ускакала... Кажется, я слышал звуки джойстика и выстрелов..."
3. Охота: Люди понимают — Лягушка в ветке ЗадротыON! Они бегут туда. Первые 3 человека, которые напишут любое сообщение в этой ветке, "ловят" лягушку.
4. Награда: Бот отвечает им прямо в ветке: "🏆 @username поймал Золотую Лягушку и получает +50 💎!". После 3 поимок лягушка исчезает до следующего раза.
🔥 ДЖЕКПОТ (Прыжок в Главный чат):
Как ты и предложил, если рандом решает, что Лягушка прыгает в ЧатON (Главный чат без темы), случается Чудо.
• Бот присылает огромную гифку сирены:
🚨 ЗОЛОТАЯ ЛИХОРАДКА! Лягушка забежала в Главный Чат!
В течение следующих 5 минут АБСОЛЮТНО ВСЕ сообщения здесь приносят х5 Пульсов! Время пошло!
• Начинается абсолютное безумие, люди бросают свои дела и 5 минут активно общаются, фармя монеты. Через 5 минут бот пишет: "Лягушка устала и ушла спать. Лихорадка окончена".
</t>
        </r>
      </text>
    </comment>
    <comment ref="A22" authorId="0" shapeId="0" xr:uid="{E1B6CD0C-D4F1-4108-882F-DF0EEDD85B9E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Текст &gt;10 слов, содержащий "спасибо", "пожалуйста", "благодарю".</t>
        </r>
      </text>
    </comment>
    <comment ref="E22" authorId="0" shapeId="0" xr:uid="{8D260B48-35C2-4888-B7DC-578158F66A6F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Отправить 5 треков/ссылок на музыку за сутки в ветке МузON.</t>
        </r>
      </text>
    </comment>
    <comment ref="E23" authorId="0" shapeId="0" xr:uid="{2838347E-9591-48D6-A91E-50AAA679F39C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Записать 4 голосовых сообщения за один час</t>
        </r>
      </text>
    </comment>
    <comment ref="I23" authorId="0" shapeId="0" xr:uid="{D0832FF7-746C-4F05-A8A6-21C54D2D8A39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Сделать Reply на самое первое сообщение новичка в чате.</t>
        </r>
      </text>
    </comment>
    <comment ref="E24" authorId="0" shapeId="0" xr:uid="{A8A153E7-FC34-4EF4-9719-1430FBBE8C3A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Отправить 10 гифок за час (лимит спама гифками).</t>
        </r>
      </text>
    </comment>
    <comment ref="I24" authorId="0" shapeId="0" xr:uid="{B5C204A3-5A15-4C52-B976-5D1DB57A0917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Сделать Reply на чужое сообщение быстрее, чем за 10 секунд после его публикации.</t>
        </r>
      </text>
    </comment>
    <comment ref="A25" authorId="0" shapeId="0" xr:uid="{BB34015E-D125-47E7-A080-FF57FECBD685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Отправка абсолютно одинакового текста/гифки 2 раза за 1 час.</t>
        </r>
      </text>
    </comment>
    <comment ref="I25" authorId="0" shapeId="0" xr:uid="{F8711D71-472E-40CD-BADB-9B7B81DBF8F7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Сделать Reply на сообщение, которое было отправлено более 48 часов назад (реанимация старых тем).</t>
        </r>
      </text>
    </comment>
    <comment ref="I28" authorId="0" shapeId="0" xr:uid="{3CB2D7C6-D0B5-4F64-B59C-98B8CEB7FE76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Нарушение логики ветки (например, отправка голого текста в МузON или МемасON). Обнуляет награду за текущее сообщение.</t>
        </r>
      </text>
    </comment>
    <comment ref="I29" authorId="0" shapeId="0" xr:uid="{AD8B3CCA-0370-4A69-A8E8-5B7E8D3C2953}">
      <text>
        <r>
          <rPr>
            <b/>
            <sz val="9"/>
            <color indexed="81"/>
            <rFont val="Tahoma"/>
            <family val="2"/>
            <charset val="204"/>
          </rPr>
          <t>илья клименко:</t>
        </r>
        <r>
          <rPr>
            <sz val="9"/>
            <color indexed="81"/>
            <rFont val="Tahoma"/>
            <family val="2"/>
            <charset val="204"/>
          </rPr>
          <t xml:space="preserve">
Сообщение пользователя было удалено модератором (или анти-мат ботом). Жесткий штраф.</t>
        </r>
      </text>
    </comment>
  </commentList>
</comments>
</file>

<file path=xl/sharedStrings.xml><?xml version="1.0" encoding="utf-8"?>
<sst xmlns="http://schemas.openxmlformats.org/spreadsheetml/2006/main" count="180" uniqueCount="89">
  <si>
    <t>ГЛОБАЛЬНАЯ БАЗА (1x) =</t>
  </si>
  <si>
    <t>💎 Пульсов</t>
  </si>
  <si>
    <t>📝 ТЕКСТ И ОБЩЕНИЕ</t>
  </si>
  <si>
    <t>Коэф. (x)</t>
  </si>
  <si>
    <t>Частота</t>
  </si>
  <si>
    <t>📷 МЕДИА И ВЛОЖЕНИЯ</t>
  </si>
  <si>
    <t>🤝 СОЦИУМ И РЕАКЦИИ</t>
  </si>
  <si>
    <t>🌍 БИОМЫ И ИВЕНТЫ</t>
  </si>
  <si>
    <t>🔹 БАЗА</t>
  </si>
  <si>
    <t>🟢 ПРОСТЫЕ</t>
  </si>
  <si>
    <t>Текст (сообщение)</t>
  </si>
  <si>
    <t>-</t>
  </si>
  <si>
    <t>Фото</t>
  </si>
  <si>
    <t>Ответ (ты ответил)</t>
  </si>
  <si>
    <t>Без спойлеров (КиноON)</t>
  </si>
  <si>
    <t>12 часов</t>
  </si>
  <si>
    <t>Эмодзи (без текста)</t>
  </si>
  <si>
    <t>Фото (2+ в спец. ветке)</t>
  </si>
  <si>
    <t>Ответ (тебе ответили)</t>
  </si>
  <si>
    <t>Организатор (Встречи)</t>
  </si>
  <si>
    <t>24 часа</t>
  </si>
  <si>
    <t>Видео обычное</t>
  </si>
  <si>
    <t>Лайк (ты поставил)</t>
  </si>
  <si>
    <t>🔥 КОМБО</t>
  </si>
  <si>
    <t>Видео кружок</t>
  </si>
  <si>
    <t>Лайк (тебе поставили)</t>
  </si>
  <si>
    <t>🔵 СРЕДНИЕ</t>
  </si>
  <si>
    <t>Писатель (&gt; 50 симв)</t>
  </si>
  <si>
    <t>Аудио / Ссылка</t>
  </si>
  <si>
    <t>Сбор Пати (ЗадротыON)</t>
  </si>
  <si>
    <t>Голосовое (Voice)</t>
  </si>
  <si>
    <t>Журналист (НьюзON)</t>
  </si>
  <si>
    <t>🚀 СПРИНТЫ</t>
  </si>
  <si>
    <t>GIF-анимация</t>
  </si>
  <si>
    <t>Острый язычок (&gt;2 репостов)</t>
  </si>
  <si>
    <t>Основа чата (10 сообщ)</t>
  </si>
  <si>
    <t>Вирусный пост (&gt;2 лайков)</t>
  </si>
  <si>
    <t>🟣 СЛОЖНЫЕ</t>
  </si>
  <si>
    <t>Эмоциональный (10 эмодзи)</t>
  </si>
  <si>
    <t>Хит (4 лайка)</t>
  </si>
  <si>
    <t>Ночной Дозор (ПлюсON)</t>
  </si>
  <si>
    <t>Иллюстратор (Текст+Фото)</t>
  </si>
  <si>
    <t>Легенда (6+ лайков)</t>
  </si>
  <si>
    <t>🎁 СЕКРЕТЫ (Пасхалки)</t>
  </si>
  <si>
    <t>Рецензент (Видео+Текст)</t>
  </si>
  <si>
    <t>Магия чисел (11:11 и т.д.)</t>
  </si>
  <si>
    <t>Диджей (Плейлист)</t>
  </si>
  <si>
    <t>🟡 ЛЕГЕНДАРНЫЕ</t>
  </si>
  <si>
    <t>Ранняя пташка (05:00)</t>
  </si>
  <si>
    <t>Болтун (20 твоих ответов)</t>
  </si>
  <si>
    <t>1 час</t>
  </si>
  <si>
    <t>Резонанс Толпы (5 одинак. эмодзи)</t>
  </si>
  <si>
    <t>Рандом</t>
  </si>
  <si>
    <t>Лев Толстой (&gt;1000 симв)</t>
  </si>
  <si>
    <t>Центр (20 ответов тебе)</t>
  </si>
  <si>
    <t>Разрыв Интернета (15 лайков)</t>
  </si>
  <si>
    <t>Юбилейное сообщение</t>
  </si>
  <si>
    <t>Фотограф (3+ фото)</t>
  </si>
  <si>
    <t>Щедрая душа (5 лайков)</t>
  </si>
  <si>
    <t>Резонанс (Секретное слово)</t>
  </si>
  <si>
    <t>Режиссер (2 видео)</t>
  </si>
  <si>
    <t>Любимчик (10 лайков тебе)</t>
  </si>
  <si>
    <t>🐸 ИВЕНТЫ</t>
  </si>
  <si>
    <t>Критический удар (Шанс 2%)</t>
  </si>
  <si>
    <t>Лицом торгуешь (5 кружков)</t>
  </si>
  <si>
    <t>Поимка Золотой Лягушки</t>
  </si>
  <si>
    <t>Амбассадор вежливости</t>
  </si>
  <si>
    <t>Меломан (5 треков)</t>
  </si>
  <si>
    <t>Радио (4 войса)</t>
  </si>
  <si>
    <t>Хлеб-соль (Ответ новичку)</t>
  </si>
  <si>
    <t>⛔ ШТРАФЫ</t>
  </si>
  <si>
    <t>Гифошная (10 гиф)</t>
  </si>
  <si>
    <t>Пинг-понг (Ответ &lt; 10 сек)</t>
  </si>
  <si>
    <t>Копипаст</t>
  </si>
  <si>
    <t>Некромант (Ответ на пост &gt;48ч)</t>
  </si>
  <si>
    <t>Не в ту дверь (Нарушение)</t>
  </si>
  <si>
    <t>Удаление (Токсик)</t>
  </si>
  <si>
    <t>ИТОГО ЗА ДЕНЬ:</t>
  </si>
  <si>
    <t>Сектор</t>
  </si>
  <si>
    <t>Заработано</t>
  </si>
  <si>
    <t>Текст</t>
  </si>
  <si>
    <t>Кол-во</t>
  </si>
  <si>
    <t>💎 Итого</t>
  </si>
  <si>
    <t>Медиа</t>
  </si>
  <si>
    <t>Социум</t>
  </si>
  <si>
    <t>Биомы</t>
  </si>
  <si>
    <t>«Амбассадор Любви»</t>
  </si>
  <si>
    <r>
      <rPr>
        <b/>
        <i/>
        <sz val="14"/>
        <color rgb="FFFFFFFF"/>
        <rFont val="Calibri"/>
        <family val="2"/>
        <charset val="204"/>
      </rPr>
      <t>ИВЕНТЫ</t>
    </r>
    <r>
      <rPr>
        <b/>
        <sz val="11"/>
        <color rgb="FFFFFFFF"/>
        <rFont val="Calibri"/>
        <family val="2"/>
        <charset val="204"/>
      </rPr>
      <t xml:space="preserve"> (</t>
    </r>
    <r>
      <rPr>
        <b/>
        <sz val="11"/>
        <color theme="9" tint="0.39997558519241921"/>
        <rFont val="Calibri"/>
        <family val="2"/>
        <charset val="204"/>
      </rPr>
      <t>1 Сезон - Биомы: Неслыханные легенды</t>
    </r>
    <r>
      <rPr>
        <b/>
        <sz val="11"/>
        <color rgb="FFFFFFFF"/>
        <rFont val="Calibri"/>
        <family val="2"/>
        <charset val="204"/>
      </rPr>
      <t>)</t>
    </r>
  </si>
  <si>
    <t>🌍 БИОМЫ К ЭТОМУ ИВЕНТУ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</si>
</sst>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\ \_xd83d_\_xdc8e_"/>
  </numFmts>
  <fonts count="16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4"/>
      <color rgb="FFE74C3C"/>
      <name val="Calibri"/>
    </font>
    <font>
      <b/>
      <sz val="11"/>
      <color rgb="FFFFFFFF"/>
      <name val="Calibri"/>
    </font>
    <font>
      <b/>
      <i/>
      <sz val="11"/>
      <color rgb="FF2C3E50"/>
      <name val="Calibri"/>
    </font>
    <font>
      <b/>
      <sz val="16"/>
      <name val="Calibri"/>
    </font>
    <font>
      <b/>
      <sz val="20"/>
      <color rgb="FF27AE60"/>
      <name val="Calibri"/>
    </font>
    <font>
      <b/>
      <sz val="11"/>
      <color rgb="FF2C3E50"/>
      <name val="Calibri"/>
    </font>
    <font>
      <b/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color theme="9" tint="0.39997558519241921"/>
      <name val="Calibri"/>
      <family val="2"/>
      <charset val="204"/>
    </font>
    <font>
      <b/>
      <i/>
      <sz val="14"/>
      <color rgb="FFFFFFFF"/>
      <name val="Calibri"/>
      <family val="2"/>
      <charset val="204"/>
    </font>
    <font>
      <b/>
      <sz val="9"/>
      <color indexed="81"/>
      <name val="Tahom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E5E7E9"/>
      </patternFill>
    </fill>
    <fill>
      <patternFill patternType="solid">
        <fgColor rgb="FF8E44AD"/>
      </patternFill>
    </fill>
    <fill>
      <patternFill patternType="solid">
        <fgColor rgb="FFD35400"/>
      </patternFill>
    </fill>
    <fill>
      <patternFill patternType="solid">
        <fgColor rgb="FF16A085"/>
      </patternFill>
    </fill>
    <fill>
      <patternFill patternType="solid">
        <fgColor rgb="FFFFF2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2" fillId="0" borderId="0" xfId="0" applyNumberFormat="1" applyFont="1"/>
    <xf numFmtId="0" fontId="1" fillId="0" borderId="0" xfId="0" applyFont="1"/>
    <xf numFmtId="0" fontId="3" fillId="2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8" fillId="0" borderId="0" xfId="0" applyFont="1"/>
    <xf numFmtId="164" fontId="0" fillId="0" borderId="0" xfId="0" applyNumberFormat="1"/>
    <xf numFmtId="0" fontId="0" fillId="7" borderId="1" xfId="0" applyFill="1" applyBorder="1" applyAlignment="1">
      <alignment horizontal="center" vertical="center"/>
    </xf>
    <xf numFmtId="164" fontId="7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2" fillId="6" borderId="0" xfId="0" applyFont="1" applyFill="1"/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12" fillId="6" borderId="0" xfId="0" applyFont="1" applyFill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1" fillId="0" borderId="0" xfId="0" applyFont="1" applyAlignment="1">
      <alignment horizontal="right"/>
    </xf>
    <xf numFmtId="0" fontId="0" fillId="0" borderId="0" xfId="0"/>
    <xf numFmtId="0" fontId="5" fillId="0" borderId="0" xfId="0" applyFont="1" applyAlignment="1">
      <alignment horizontal="right" vertical="center"/>
    </xf>
    <xf numFmtId="165" fontId="6" fillId="0" borderId="0" xfId="0" applyNumberFormat="1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Источники дохода 💎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Симулятор!$R$2</c:f>
              <c:strCache>
                <c:ptCount val="1"/>
                <c:pt idx="0">
                  <c:v>Заработано</c:v>
                </c:pt>
              </c:strCache>
            </c:strRef>
          </c:tx>
          <c:spPr>
            <a:ln>
              <a:prstDash val="solid"/>
            </a:ln>
          </c:spPr>
          <c:cat>
            <c:strRef>
              <c:f>Симулятор!$Q$3:$Q$6</c:f>
              <c:strCache>
                <c:ptCount val="4"/>
                <c:pt idx="0">
                  <c:v>Текст</c:v>
                </c:pt>
                <c:pt idx="1">
                  <c:v>Медиа</c:v>
                </c:pt>
                <c:pt idx="2">
                  <c:v>Социум</c:v>
                </c:pt>
                <c:pt idx="3">
                  <c:v>Биомы</c:v>
                </c:pt>
              </c:strCache>
            </c:strRef>
          </c:cat>
          <c:val>
            <c:numRef>
              <c:f>Симулятор!$R$3:$R$6</c:f>
              <c:numCache>
                <c:formatCode>0.000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6-44E5-8355-3546A18B8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topLeftCell="A4" workbookViewId="0">
      <selection activeCell="J23" sqref="J23:J25"/>
    </sheetView>
  </sheetViews>
  <sheetFormatPr defaultRowHeight="14.4" x14ac:dyDescent="0.3"/>
  <cols>
    <col min="1" max="1" width="32" customWidth="1"/>
    <col min="2" max="2" width="10" customWidth="1"/>
    <col min="3" max="3" width="12" customWidth="1"/>
    <col min="4" max="4" width="7" bestFit="1" customWidth="1"/>
    <col min="5" max="5" width="32" customWidth="1"/>
    <col min="6" max="6" width="10" customWidth="1"/>
    <col min="7" max="7" width="12" customWidth="1"/>
    <col min="8" max="8" width="2" customWidth="1"/>
    <col min="9" max="9" width="32" customWidth="1"/>
    <col min="10" max="10" width="10" customWidth="1"/>
    <col min="11" max="11" width="12" customWidth="1"/>
    <col min="12" max="12" width="2" customWidth="1"/>
    <col min="13" max="13" width="32" customWidth="1"/>
    <col min="14" max="14" width="10" customWidth="1"/>
    <col min="15" max="15" width="12" customWidth="1"/>
    <col min="16" max="16" width="2" customWidth="1"/>
  </cols>
  <sheetData>
    <row r="1" spans="1:15" ht="18" x14ac:dyDescent="0.35">
      <c r="A1" s="23" t="s">
        <v>0</v>
      </c>
      <c r="B1" s="24"/>
      <c r="C1" s="24"/>
      <c r="D1" s="1">
        <v>2E-3</v>
      </c>
      <c r="E1" s="2" t="s">
        <v>1</v>
      </c>
      <c r="M1" s="20" t="s">
        <v>87</v>
      </c>
      <c r="N1" s="20"/>
      <c r="O1" s="20"/>
    </row>
    <row r="3" spans="1:15" x14ac:dyDescent="0.3">
      <c r="A3" s="3" t="s">
        <v>2</v>
      </c>
      <c r="B3" s="3" t="s">
        <v>3</v>
      </c>
      <c r="C3" s="3" t="s">
        <v>4</v>
      </c>
      <c r="E3" s="4" t="s">
        <v>5</v>
      </c>
      <c r="F3" s="4" t="s">
        <v>3</v>
      </c>
      <c r="G3" s="4" t="s">
        <v>4</v>
      </c>
      <c r="I3" s="5" t="s">
        <v>6</v>
      </c>
      <c r="J3" s="5" t="s">
        <v>3</v>
      </c>
      <c r="K3" s="5" t="s">
        <v>4</v>
      </c>
      <c r="M3" s="15" t="s">
        <v>88</v>
      </c>
      <c r="N3" s="6" t="s">
        <v>3</v>
      </c>
      <c r="O3" s="6" t="s">
        <v>4</v>
      </c>
    </row>
    <row r="4" spans="1:15" x14ac:dyDescent="0.3">
      <c r="A4" s="18" t="s">
        <v>8</v>
      </c>
      <c r="B4" s="19"/>
      <c r="C4" s="19"/>
      <c r="E4" s="18" t="s">
        <v>8</v>
      </c>
      <c r="F4" s="19"/>
      <c r="G4" s="19"/>
      <c r="I4" s="18" t="s">
        <v>8</v>
      </c>
      <c r="J4" s="19"/>
      <c r="K4" s="19"/>
      <c r="M4" s="18" t="s">
        <v>9</v>
      </c>
      <c r="N4" s="19"/>
      <c r="O4" s="19"/>
    </row>
    <row r="5" spans="1:15" x14ac:dyDescent="0.3">
      <c r="A5" s="7" t="s">
        <v>10</v>
      </c>
      <c r="B5" s="8">
        <v>1</v>
      </c>
      <c r="C5" s="8" t="s">
        <v>11</v>
      </c>
      <c r="E5" s="7" t="s">
        <v>12</v>
      </c>
      <c r="F5" s="8">
        <v>4</v>
      </c>
      <c r="G5" s="8" t="s">
        <v>11</v>
      </c>
      <c r="I5" s="7" t="s">
        <v>13</v>
      </c>
      <c r="J5" s="8">
        <v>1</v>
      </c>
      <c r="K5" s="8" t="s">
        <v>11</v>
      </c>
      <c r="M5" s="7" t="s">
        <v>14</v>
      </c>
      <c r="N5" s="16">
        <v>1000</v>
      </c>
      <c r="O5" s="8" t="s">
        <v>15</v>
      </c>
    </row>
    <row r="6" spans="1:15" x14ac:dyDescent="0.3">
      <c r="A6" s="7" t="s">
        <v>16</v>
      </c>
      <c r="B6" s="8">
        <v>1</v>
      </c>
      <c r="C6" s="8" t="s">
        <v>11</v>
      </c>
      <c r="E6" s="7" t="s">
        <v>17</v>
      </c>
      <c r="F6" s="8">
        <v>6</v>
      </c>
      <c r="G6" s="8" t="s">
        <v>11</v>
      </c>
      <c r="I6" s="7" t="s">
        <v>18</v>
      </c>
      <c r="J6" s="8">
        <v>1</v>
      </c>
      <c r="K6" s="8" t="s">
        <v>11</v>
      </c>
      <c r="M6" s="7" t="s">
        <v>19</v>
      </c>
      <c r="N6" s="16">
        <v>1500</v>
      </c>
      <c r="O6" s="8" t="s">
        <v>20</v>
      </c>
    </row>
    <row r="7" spans="1:15" x14ac:dyDescent="0.3">
      <c r="E7" s="7" t="s">
        <v>21</v>
      </c>
      <c r="F7" s="8">
        <v>5</v>
      </c>
      <c r="G7" s="8" t="s">
        <v>11</v>
      </c>
      <c r="I7" s="7" t="s">
        <v>22</v>
      </c>
      <c r="J7" s="8">
        <v>1</v>
      </c>
      <c r="K7" s="8" t="s">
        <v>11</v>
      </c>
    </row>
    <row r="8" spans="1:15" x14ac:dyDescent="0.3">
      <c r="A8" s="18" t="s">
        <v>23</v>
      </c>
      <c r="B8" s="19"/>
      <c r="C8" s="19"/>
      <c r="E8" s="7" t="s">
        <v>24</v>
      </c>
      <c r="F8" s="8">
        <v>7</v>
      </c>
      <c r="G8" s="8" t="s">
        <v>11</v>
      </c>
      <c r="I8" s="7" t="s">
        <v>25</v>
      </c>
      <c r="J8" s="8">
        <v>2</v>
      </c>
      <c r="K8" s="8" t="s">
        <v>11</v>
      </c>
      <c r="M8" s="18" t="s">
        <v>26</v>
      </c>
      <c r="N8" s="19"/>
      <c r="O8" s="19"/>
    </row>
    <row r="9" spans="1:15" x14ac:dyDescent="0.3">
      <c r="A9" s="7" t="s">
        <v>27</v>
      </c>
      <c r="B9" s="8">
        <v>10</v>
      </c>
      <c r="C9" s="8" t="s">
        <v>20</v>
      </c>
      <c r="E9" s="7" t="s">
        <v>28</v>
      </c>
      <c r="F9" s="8">
        <v>2</v>
      </c>
      <c r="G9" s="8" t="s">
        <v>11</v>
      </c>
      <c r="M9" s="7" t="s">
        <v>29</v>
      </c>
      <c r="N9" s="16">
        <v>4000</v>
      </c>
      <c r="O9" s="8" t="s">
        <v>20</v>
      </c>
    </row>
    <row r="10" spans="1:15" x14ac:dyDescent="0.3">
      <c r="E10" s="7" t="s">
        <v>30</v>
      </c>
      <c r="F10" s="8">
        <v>3</v>
      </c>
      <c r="G10" s="8" t="s">
        <v>11</v>
      </c>
      <c r="I10" s="18" t="s">
        <v>23</v>
      </c>
      <c r="J10" s="19"/>
      <c r="K10" s="19"/>
      <c r="M10" s="7" t="s">
        <v>31</v>
      </c>
      <c r="N10" s="16">
        <v>5000</v>
      </c>
      <c r="O10" s="8" t="s">
        <v>15</v>
      </c>
    </row>
    <row r="11" spans="1:15" x14ac:dyDescent="0.3">
      <c r="A11" s="18" t="s">
        <v>32</v>
      </c>
      <c r="B11" s="19"/>
      <c r="C11" s="19"/>
      <c r="E11" s="7" t="s">
        <v>33</v>
      </c>
      <c r="F11" s="8">
        <v>1</v>
      </c>
      <c r="G11" s="8" t="s">
        <v>11</v>
      </c>
      <c r="I11" s="7" t="s">
        <v>34</v>
      </c>
      <c r="J11" s="8">
        <v>3</v>
      </c>
      <c r="K11" s="8" t="s">
        <v>20</v>
      </c>
    </row>
    <row r="12" spans="1:15" x14ac:dyDescent="0.3">
      <c r="A12" s="7" t="s">
        <v>35</v>
      </c>
      <c r="B12" s="8">
        <v>25</v>
      </c>
      <c r="C12" s="8" t="s">
        <v>20</v>
      </c>
      <c r="I12" s="7" t="s">
        <v>36</v>
      </c>
      <c r="J12" s="8">
        <v>2</v>
      </c>
      <c r="K12" s="8" t="s">
        <v>20</v>
      </c>
      <c r="M12" s="18" t="s">
        <v>37</v>
      </c>
      <c r="N12" s="19"/>
      <c r="O12" s="19"/>
    </row>
    <row r="13" spans="1:15" x14ac:dyDescent="0.3">
      <c r="A13" s="7" t="s">
        <v>38</v>
      </c>
      <c r="B13" s="8">
        <v>10</v>
      </c>
      <c r="C13" s="8" t="s">
        <v>20</v>
      </c>
      <c r="E13" s="18" t="s">
        <v>23</v>
      </c>
      <c r="F13" s="19"/>
      <c r="G13" s="19"/>
      <c r="I13" s="7" t="s">
        <v>39</v>
      </c>
      <c r="J13" s="8">
        <v>5</v>
      </c>
      <c r="K13" s="8" t="s">
        <v>20</v>
      </c>
      <c r="M13" s="7" t="s">
        <v>40</v>
      </c>
      <c r="N13" s="16">
        <v>12500</v>
      </c>
      <c r="O13" s="8" t="s">
        <v>20</v>
      </c>
    </row>
    <row r="14" spans="1:15" x14ac:dyDescent="0.3">
      <c r="E14" s="7" t="s">
        <v>41</v>
      </c>
      <c r="F14" s="8">
        <v>20</v>
      </c>
      <c r="G14" s="8" t="s">
        <v>20</v>
      </c>
      <c r="I14" s="7" t="s">
        <v>42</v>
      </c>
      <c r="J14" s="8">
        <v>10</v>
      </c>
      <c r="K14" s="8" t="s">
        <v>20</v>
      </c>
      <c r="M14" s="13" t="s">
        <v>86</v>
      </c>
      <c r="N14" s="17">
        <v>10000</v>
      </c>
      <c r="O14" s="14" t="s">
        <v>15</v>
      </c>
    </row>
    <row r="15" spans="1:15" x14ac:dyDescent="0.3">
      <c r="A15" s="21" t="s">
        <v>43</v>
      </c>
      <c r="B15" s="22"/>
      <c r="C15" s="22"/>
      <c r="E15" s="7" t="s">
        <v>44</v>
      </c>
      <c r="F15" s="8">
        <v>20</v>
      </c>
      <c r="G15" s="8" t="s">
        <v>20</v>
      </c>
    </row>
    <row r="16" spans="1:15" x14ac:dyDescent="0.3">
      <c r="A16" s="7" t="s">
        <v>45</v>
      </c>
      <c r="B16" s="16">
        <v>5500</v>
      </c>
      <c r="C16" s="8" t="s">
        <v>20</v>
      </c>
      <c r="E16" s="7" t="s">
        <v>46</v>
      </c>
      <c r="F16" s="8">
        <v>15</v>
      </c>
      <c r="G16" s="8" t="s">
        <v>20</v>
      </c>
      <c r="I16" s="18" t="s">
        <v>32</v>
      </c>
      <c r="J16" s="19"/>
      <c r="K16" s="19"/>
      <c r="M16" s="18" t="s">
        <v>47</v>
      </c>
      <c r="N16" s="19"/>
      <c r="O16" s="19"/>
    </row>
    <row r="17" spans="1:15" x14ac:dyDescent="0.3">
      <c r="A17" s="7" t="s">
        <v>48</v>
      </c>
      <c r="B17" s="16">
        <v>7500</v>
      </c>
      <c r="C17" s="8" t="s">
        <v>20</v>
      </c>
      <c r="I17" s="7" t="s">
        <v>49</v>
      </c>
      <c r="J17" s="8">
        <v>20</v>
      </c>
      <c r="K17" s="8" t="s">
        <v>50</v>
      </c>
      <c r="M17" s="7" t="s">
        <v>51</v>
      </c>
      <c r="N17" s="16">
        <v>25000</v>
      </c>
      <c r="O17" s="8" t="s">
        <v>52</v>
      </c>
    </row>
    <row r="18" spans="1:15" x14ac:dyDescent="0.3">
      <c r="A18" s="7" t="s">
        <v>53</v>
      </c>
      <c r="B18" s="16">
        <v>15000</v>
      </c>
      <c r="C18" s="8" t="s">
        <v>20</v>
      </c>
      <c r="E18" s="18" t="s">
        <v>32</v>
      </c>
      <c r="F18" s="19"/>
      <c r="G18" s="19"/>
      <c r="I18" s="7" t="s">
        <v>54</v>
      </c>
      <c r="J18" s="8">
        <v>25</v>
      </c>
      <c r="K18" s="8" t="s">
        <v>15</v>
      </c>
      <c r="M18" s="7" t="s">
        <v>55</v>
      </c>
      <c r="N18" s="16">
        <v>75000</v>
      </c>
      <c r="O18" s="8" t="s">
        <v>11</v>
      </c>
    </row>
    <row r="19" spans="1:15" x14ac:dyDescent="0.3">
      <c r="A19" s="7" t="s">
        <v>56</v>
      </c>
      <c r="B19" s="16">
        <v>25000</v>
      </c>
      <c r="C19" s="8" t="s">
        <v>20</v>
      </c>
      <c r="E19" s="7" t="s">
        <v>57</v>
      </c>
      <c r="F19" s="8">
        <v>20</v>
      </c>
      <c r="G19" s="8" t="s">
        <v>20</v>
      </c>
      <c r="I19" s="7" t="s">
        <v>58</v>
      </c>
      <c r="J19" s="8">
        <v>10</v>
      </c>
      <c r="K19" s="8" t="s">
        <v>50</v>
      </c>
    </row>
    <row r="20" spans="1:15" x14ac:dyDescent="0.3">
      <c r="A20" s="7" t="s">
        <v>59</v>
      </c>
      <c r="B20" s="16">
        <v>15000</v>
      </c>
      <c r="C20" s="8" t="s">
        <v>52</v>
      </c>
      <c r="E20" s="7" t="s">
        <v>60</v>
      </c>
      <c r="F20" s="8">
        <v>70</v>
      </c>
      <c r="G20" s="8" t="s">
        <v>20</v>
      </c>
      <c r="I20" s="7" t="s">
        <v>61</v>
      </c>
      <c r="J20" s="8">
        <v>20</v>
      </c>
      <c r="K20" s="8" t="s">
        <v>50</v>
      </c>
      <c r="M20" s="18" t="s">
        <v>62</v>
      </c>
      <c r="N20" s="19"/>
      <c r="O20" s="19"/>
    </row>
    <row r="21" spans="1:15" x14ac:dyDescent="0.3">
      <c r="A21" s="7" t="s">
        <v>63</v>
      </c>
      <c r="B21" s="16">
        <v>5000</v>
      </c>
      <c r="C21" s="8" t="s">
        <v>52</v>
      </c>
      <c r="E21" s="7" t="s">
        <v>64</v>
      </c>
      <c r="F21" s="8">
        <v>30</v>
      </c>
      <c r="G21" s="8" t="s">
        <v>15</v>
      </c>
      <c r="M21" s="7" t="s">
        <v>65</v>
      </c>
      <c r="N21" s="16">
        <v>25000</v>
      </c>
      <c r="O21" s="8" t="s">
        <v>52</v>
      </c>
    </row>
    <row r="22" spans="1:15" x14ac:dyDescent="0.3">
      <c r="A22" s="7" t="s">
        <v>66</v>
      </c>
      <c r="B22" s="16">
        <v>100</v>
      </c>
      <c r="C22" s="8" t="s">
        <v>50</v>
      </c>
      <c r="E22" s="7" t="s">
        <v>67</v>
      </c>
      <c r="F22" s="8">
        <v>60</v>
      </c>
      <c r="G22" s="8" t="s">
        <v>20</v>
      </c>
      <c r="I22" s="21" t="s">
        <v>43</v>
      </c>
      <c r="J22" s="22"/>
      <c r="K22" s="22"/>
    </row>
    <row r="23" spans="1:15" x14ac:dyDescent="0.3">
      <c r="E23" s="7" t="s">
        <v>68</v>
      </c>
      <c r="F23" s="8">
        <v>10</v>
      </c>
      <c r="G23" s="8" t="s">
        <v>50</v>
      </c>
      <c r="I23" s="7" t="s">
        <v>69</v>
      </c>
      <c r="J23" s="16">
        <v>12500</v>
      </c>
      <c r="K23" s="8" t="s">
        <v>20</v>
      </c>
    </row>
    <row r="24" spans="1:15" x14ac:dyDescent="0.3">
      <c r="A24" s="18" t="s">
        <v>70</v>
      </c>
      <c r="B24" s="19"/>
      <c r="C24" s="19"/>
      <c r="E24" s="7" t="s">
        <v>71</v>
      </c>
      <c r="F24" s="8">
        <v>15</v>
      </c>
      <c r="G24" s="8" t="s">
        <v>50</v>
      </c>
      <c r="I24" s="7" t="s">
        <v>72</v>
      </c>
      <c r="J24" s="16">
        <v>2500</v>
      </c>
      <c r="K24" s="8" t="s">
        <v>50</v>
      </c>
    </row>
    <row r="25" spans="1:15" x14ac:dyDescent="0.3">
      <c r="A25" s="7" t="s">
        <v>73</v>
      </c>
      <c r="B25" s="8">
        <v>-25000</v>
      </c>
      <c r="C25" s="8" t="s">
        <v>11</v>
      </c>
      <c r="I25" s="7" t="s">
        <v>74</v>
      </c>
      <c r="J25" s="16">
        <v>10000</v>
      </c>
      <c r="K25" s="8" t="s">
        <v>15</v>
      </c>
    </row>
    <row r="27" spans="1:15" x14ac:dyDescent="0.3">
      <c r="I27" s="18" t="s">
        <v>70</v>
      </c>
      <c r="J27" s="19"/>
      <c r="K27" s="19"/>
    </row>
    <row r="28" spans="1:15" x14ac:dyDescent="0.3">
      <c r="I28" s="7" t="s">
        <v>75</v>
      </c>
      <c r="J28" s="8">
        <v>-25000</v>
      </c>
      <c r="K28" s="8" t="s">
        <v>11</v>
      </c>
    </row>
    <row r="29" spans="1:15" x14ac:dyDescent="0.3">
      <c r="I29" s="7" t="s">
        <v>76</v>
      </c>
      <c r="J29" s="8">
        <v>-50000</v>
      </c>
      <c r="K29" s="8" t="s">
        <v>11</v>
      </c>
    </row>
  </sheetData>
  <mergeCells count="20">
    <mergeCell ref="A1:C1"/>
    <mergeCell ref="I27:K27"/>
    <mergeCell ref="E4:G4"/>
    <mergeCell ref="A8:C8"/>
    <mergeCell ref="I16:K16"/>
    <mergeCell ref="E13:G13"/>
    <mergeCell ref="I22:K22"/>
    <mergeCell ref="A4:C4"/>
    <mergeCell ref="I10:K10"/>
    <mergeCell ref="M4:O4"/>
    <mergeCell ref="A15:C15"/>
    <mergeCell ref="A24:C24"/>
    <mergeCell ref="A11:C11"/>
    <mergeCell ref="M16:O16"/>
    <mergeCell ref="M12:O12"/>
    <mergeCell ref="E18:G18"/>
    <mergeCell ref="M20:O20"/>
    <mergeCell ref="M1:O1"/>
    <mergeCell ref="M8:O8"/>
    <mergeCell ref="I4:K4"/>
  </mergeCells>
  <dataValidations count="1">
    <dataValidation type="list" allowBlank="1" sqref="C9 C12:C13 C16:C22 G14:G16 G19:G24 K11:K14 K17:K20 K23:K25 O5:O6 O9:O10 O13:O14 O17:O18 O21" xr:uid="{00000000-0002-0000-0000-000000000000}">
      <formula1>"1 час,12 часов,24 часа,Неделя,Рандом"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0"/>
  <sheetViews>
    <sheetView workbookViewId="0">
      <selection activeCell="B10" sqref="B10"/>
    </sheetView>
  </sheetViews>
  <sheetFormatPr defaultRowHeight="14.4" x14ac:dyDescent="0.3"/>
  <cols>
    <col min="1" max="1" width="32" customWidth="1"/>
    <col min="2" max="2" width="10" customWidth="1"/>
    <col min="3" max="3" width="12" customWidth="1"/>
    <col min="5" max="5" width="32" customWidth="1"/>
    <col min="6" max="6" width="10" customWidth="1"/>
    <col min="7" max="7" width="12" customWidth="1"/>
    <col min="9" max="9" width="32" customWidth="1"/>
    <col min="10" max="10" width="10" customWidth="1"/>
    <col min="11" max="11" width="12" customWidth="1"/>
    <col min="13" max="13" width="32" customWidth="1"/>
    <col min="14" max="14" width="10" customWidth="1"/>
    <col min="15" max="15" width="12" customWidth="1"/>
    <col min="17" max="18" width="15" customWidth="1"/>
  </cols>
  <sheetData>
    <row r="1" spans="1:18" x14ac:dyDescent="0.3">
      <c r="A1" s="25" t="s">
        <v>77</v>
      </c>
      <c r="B1" s="24"/>
      <c r="C1" s="26">
        <f>SUM(R3:R6)</f>
        <v>0</v>
      </c>
      <c r="D1" s="24"/>
    </row>
    <row r="2" spans="1:18" x14ac:dyDescent="0.3">
      <c r="A2" s="24"/>
      <c r="B2" s="24"/>
      <c r="C2" s="24"/>
      <c r="D2" s="24"/>
      <c r="Q2" s="3" t="s">
        <v>78</v>
      </c>
      <c r="R2" s="3" t="s">
        <v>79</v>
      </c>
    </row>
    <row r="3" spans="1:18" x14ac:dyDescent="0.3">
      <c r="Q3" s="9" t="s">
        <v>80</v>
      </c>
      <c r="R3" s="10">
        <f>SUM(C6,C7,C10,C13,C14,C17,C18,C19,C20,C21,C22,C23,C26)</f>
        <v>0</v>
      </c>
    </row>
    <row r="4" spans="1:18" x14ac:dyDescent="0.3">
      <c r="A4" s="3" t="s">
        <v>2</v>
      </c>
      <c r="B4" s="3" t="s">
        <v>81</v>
      </c>
      <c r="C4" s="3" t="s">
        <v>82</v>
      </c>
      <c r="E4" s="4" t="s">
        <v>5</v>
      </c>
      <c r="F4" s="4" t="s">
        <v>81</v>
      </c>
      <c r="G4" s="4" t="s">
        <v>82</v>
      </c>
      <c r="I4" s="5" t="s">
        <v>6</v>
      </c>
      <c r="J4" s="5" t="s">
        <v>81</v>
      </c>
      <c r="K4" s="5" t="s">
        <v>82</v>
      </c>
      <c r="M4" s="6" t="s">
        <v>7</v>
      </c>
      <c r="N4" s="6" t="s">
        <v>81</v>
      </c>
      <c r="O4" s="6" t="s">
        <v>82</v>
      </c>
      <c r="Q4" s="9" t="s">
        <v>83</v>
      </c>
      <c r="R4" s="10">
        <f>SUM(G6,G7,G8,G9,G10,G11,G12,G15,G16,G17,G20,G21,G22,G23,G24,G25)</f>
        <v>0</v>
      </c>
    </row>
    <row r="5" spans="1:18" x14ac:dyDescent="0.3">
      <c r="A5" s="18" t="s">
        <v>8</v>
      </c>
      <c r="B5" s="19"/>
      <c r="C5" s="19"/>
      <c r="E5" s="18" t="s">
        <v>8</v>
      </c>
      <c r="F5" s="19"/>
      <c r="G5" s="19"/>
      <c r="I5" s="18" t="s">
        <v>8</v>
      </c>
      <c r="J5" s="19"/>
      <c r="K5" s="19"/>
      <c r="M5" s="18" t="s">
        <v>9</v>
      </c>
      <c r="N5" s="19"/>
      <c r="O5" s="19"/>
      <c r="Q5" s="9" t="s">
        <v>84</v>
      </c>
      <c r="R5" s="10">
        <f>SUM(K6,K7,K8,K9,K12,K13,K14,K15,K18,K19,K20,K21,K24,K25,K26,K29,K30)</f>
        <v>0</v>
      </c>
    </row>
    <row r="6" spans="1:18" x14ac:dyDescent="0.3">
      <c r="A6" s="7" t="str">
        <f>Настройки!A5</f>
        <v>Текст (сообщение)</v>
      </c>
      <c r="B6" s="11">
        <v>0</v>
      </c>
      <c r="C6" s="12">
        <f>B6 * Настройки!B5 * Настройки!$D$1</f>
        <v>0</v>
      </c>
      <c r="E6" s="7" t="str">
        <f>Настройки!E5</f>
        <v>Фото</v>
      </c>
      <c r="F6" s="11">
        <v>0</v>
      </c>
      <c r="G6" s="12">
        <f>F6 * Настройки!F5 * Настройки!$D$1</f>
        <v>0</v>
      </c>
      <c r="I6" s="7" t="str">
        <f>Настройки!I5</f>
        <v>Ответ (ты ответил)</v>
      </c>
      <c r="J6" s="11">
        <v>0</v>
      </c>
      <c r="K6" s="12">
        <f>J6 * Настройки!J5 * Настройки!$D$1</f>
        <v>0</v>
      </c>
      <c r="M6" s="7" t="str">
        <f>Настройки!M5</f>
        <v>Без спойлеров (КиноON)</v>
      </c>
      <c r="N6" s="11">
        <v>0</v>
      </c>
      <c r="O6" s="12">
        <f>N6 * Настройки!N5 * Настройки!$D$1</f>
        <v>0</v>
      </c>
      <c r="Q6" s="9" t="s">
        <v>85</v>
      </c>
      <c r="R6" s="10">
        <f>SUM(O6,O7,O10,O11,O14,O15,O18,O19,O22)</f>
        <v>0</v>
      </c>
    </row>
    <row r="7" spans="1:18" x14ac:dyDescent="0.3">
      <c r="A7" s="7" t="str">
        <f>Настройки!A6</f>
        <v>Эмодзи (без текста)</v>
      </c>
      <c r="B7" s="11">
        <v>0</v>
      </c>
      <c r="C7" s="12">
        <f>B7 * Настройки!B6 * Настройки!$D$1</f>
        <v>0</v>
      </c>
      <c r="E7" s="7" t="str">
        <f>Настройки!E6</f>
        <v>Фото (2+ в спец. ветке)</v>
      </c>
      <c r="F7" s="11">
        <v>0</v>
      </c>
      <c r="G7" s="12">
        <f>F7 * Настройки!F6 * Настройки!$D$1</f>
        <v>0</v>
      </c>
      <c r="I7" s="7" t="str">
        <f>Настройки!I6</f>
        <v>Ответ (тебе ответили)</v>
      </c>
      <c r="J7" s="11">
        <v>0</v>
      </c>
      <c r="K7" s="12">
        <f>J7 * Настройки!J6 * Настройки!$D$1</f>
        <v>0</v>
      </c>
      <c r="M7" s="7" t="str">
        <f>Настройки!M6</f>
        <v>Организатор (Встречи)</v>
      </c>
      <c r="N7" s="11">
        <v>0</v>
      </c>
      <c r="O7" s="12">
        <f>N7 * Настройки!N6 * Настройки!$D$1</f>
        <v>0</v>
      </c>
    </row>
    <row r="8" spans="1:18" x14ac:dyDescent="0.3">
      <c r="E8" s="7" t="str">
        <f>Настройки!E7</f>
        <v>Видео обычное</v>
      </c>
      <c r="F8" s="11">
        <v>0</v>
      </c>
      <c r="G8" s="12">
        <f>F8 * Настройки!F7 * Настройки!$D$1</f>
        <v>0</v>
      </c>
      <c r="I8" s="7" t="str">
        <f>Настройки!I7</f>
        <v>Лайк (ты поставил)</v>
      </c>
      <c r="J8" s="11">
        <v>0</v>
      </c>
      <c r="K8" s="12">
        <f>J8 * Настройки!J7 * Настройки!$D$1</f>
        <v>0</v>
      </c>
    </row>
    <row r="9" spans="1:18" x14ac:dyDescent="0.3">
      <c r="A9" s="18" t="s">
        <v>23</v>
      </c>
      <c r="B9" s="19"/>
      <c r="C9" s="19"/>
      <c r="E9" s="7" t="str">
        <f>Настройки!E8</f>
        <v>Видео кружок</v>
      </c>
      <c r="F9" s="11">
        <v>0</v>
      </c>
      <c r="G9" s="12">
        <f>F9 * Настройки!F8 * Настройки!$D$1</f>
        <v>0</v>
      </c>
      <c r="I9" s="7" t="str">
        <f>Настройки!I8</f>
        <v>Лайк (тебе поставили)</v>
      </c>
      <c r="J9" s="11">
        <v>0</v>
      </c>
      <c r="K9" s="12">
        <f>J9 * Настройки!J8 * Настройки!$D$1</f>
        <v>0</v>
      </c>
      <c r="M9" s="18" t="s">
        <v>26</v>
      </c>
      <c r="N9" s="19"/>
      <c r="O9" s="19"/>
    </row>
    <row r="10" spans="1:18" x14ac:dyDescent="0.3">
      <c r="A10" s="7" t="str">
        <f>Настройки!A9</f>
        <v>Писатель (&gt; 50 симв)</v>
      </c>
      <c r="B10" s="11">
        <v>0</v>
      </c>
      <c r="C10" s="12">
        <f>B10 * Настройки!B9 * Настройки!$D$1</f>
        <v>0</v>
      </c>
      <c r="E10" s="7" t="str">
        <f>Настройки!E9</f>
        <v>Аудио / Ссылка</v>
      </c>
      <c r="F10" s="11">
        <v>0</v>
      </c>
      <c r="G10" s="12">
        <f>F10 * Настройки!F9 * Настройки!$D$1</f>
        <v>0</v>
      </c>
      <c r="M10" s="7" t="str">
        <f>Настройки!M9</f>
        <v>Сбор Пати (ЗадротыON)</v>
      </c>
      <c r="N10" s="11">
        <v>0</v>
      </c>
      <c r="O10" s="12">
        <f>N10 * Настройки!N9 * Настройки!$D$1</f>
        <v>0</v>
      </c>
    </row>
    <row r="11" spans="1:18" x14ac:dyDescent="0.3">
      <c r="E11" s="7" t="str">
        <f>Настройки!E10</f>
        <v>Голосовое (Voice)</v>
      </c>
      <c r="F11" s="11">
        <v>0</v>
      </c>
      <c r="G11" s="12">
        <f>F11 * Настройки!F10 * Настройки!$D$1</f>
        <v>0</v>
      </c>
      <c r="I11" s="18" t="s">
        <v>23</v>
      </c>
      <c r="J11" s="19"/>
      <c r="K11" s="19"/>
      <c r="M11" s="7" t="str">
        <f>Настройки!M10</f>
        <v>Журналист (НьюзON)</v>
      </c>
      <c r="N11" s="11">
        <v>0</v>
      </c>
      <c r="O11" s="12">
        <f>N11 * Настройки!N10 * Настройки!$D$1</f>
        <v>0</v>
      </c>
    </row>
    <row r="12" spans="1:18" x14ac:dyDescent="0.3">
      <c r="A12" s="18" t="s">
        <v>32</v>
      </c>
      <c r="B12" s="19"/>
      <c r="C12" s="19"/>
      <c r="E12" s="7" t="str">
        <f>Настройки!E11</f>
        <v>GIF-анимация</v>
      </c>
      <c r="F12" s="11">
        <v>0</v>
      </c>
      <c r="G12" s="12">
        <f>F12 * Настройки!F11 * Настройки!$D$1</f>
        <v>0</v>
      </c>
      <c r="I12" s="7" t="str">
        <f>Настройки!I11</f>
        <v>Острый язычок (&gt;2 репостов)</v>
      </c>
      <c r="J12" s="11">
        <v>0</v>
      </c>
      <c r="K12" s="12">
        <f>J12 * Настройки!J11 * Настройки!$D$1</f>
        <v>0</v>
      </c>
    </row>
    <row r="13" spans="1:18" x14ac:dyDescent="0.3">
      <c r="A13" s="7" t="str">
        <f>Настройки!A12</f>
        <v>Основа чата (10 сообщ)</v>
      </c>
      <c r="B13" s="11">
        <v>0</v>
      </c>
      <c r="C13" s="12">
        <f>B13 * Настройки!B12 * Настройки!$D$1</f>
        <v>0</v>
      </c>
      <c r="I13" s="7" t="str">
        <f>Настройки!I12</f>
        <v>Вирусный пост (&gt;2 лайков)</v>
      </c>
      <c r="J13" s="11">
        <v>0</v>
      </c>
      <c r="K13" s="12">
        <f>J13 * Настройки!J12 * Настройки!$D$1</f>
        <v>0</v>
      </c>
      <c r="M13" s="18" t="s">
        <v>37</v>
      </c>
      <c r="N13" s="19"/>
      <c r="O13" s="19"/>
    </row>
    <row r="14" spans="1:18" x14ac:dyDescent="0.3">
      <c r="A14" s="7" t="str">
        <f>Настройки!A13</f>
        <v>Эмоциональный (10 эмодзи)</v>
      </c>
      <c r="B14" s="11">
        <v>0</v>
      </c>
      <c r="C14" s="12">
        <f>B14 * Настройки!B13 * Настройки!$D$1</f>
        <v>0</v>
      </c>
      <c r="E14" s="18" t="s">
        <v>23</v>
      </c>
      <c r="F14" s="19"/>
      <c r="G14" s="19"/>
      <c r="I14" s="7" t="str">
        <f>Настройки!I13</f>
        <v>Хит (4 лайка)</v>
      </c>
      <c r="J14" s="11">
        <v>0</v>
      </c>
      <c r="K14" s="12">
        <f>J14 * Настройки!J13 * Настройки!$D$1</f>
        <v>0</v>
      </c>
      <c r="M14" s="7" t="str">
        <f>Настройки!M13</f>
        <v>Ночной Дозор (ПлюсON)</v>
      </c>
      <c r="N14" s="11">
        <v>0</v>
      </c>
      <c r="O14" s="12">
        <f>N14 * Настройки!N13 * Настройки!$D$1</f>
        <v>0</v>
      </c>
    </row>
    <row r="15" spans="1:18" x14ac:dyDescent="0.3">
      <c r="E15" s="7" t="str">
        <f>Настройки!E14</f>
        <v>Иллюстратор (Текст+Фото)</v>
      </c>
      <c r="F15" s="11">
        <v>0</v>
      </c>
      <c r="G15" s="12">
        <f>F15 * Настройки!F14 * Настройки!$D$1</f>
        <v>0</v>
      </c>
      <c r="I15" s="7" t="str">
        <f>Настройки!I14</f>
        <v>Легенда (6+ лайков)</v>
      </c>
      <c r="J15" s="11">
        <v>0</v>
      </c>
      <c r="K15" s="12">
        <f>J15 * Настройки!J14 * Настройки!$D$1</f>
        <v>0</v>
      </c>
      <c r="M15" s="7" t="str">
        <f>Настройки!M14</f>
        <v>«Амбассадор Любви»</v>
      </c>
      <c r="N15" s="11">
        <v>0</v>
      </c>
      <c r="O15" s="12">
        <f>N15 * Настройки!N14 * Настройки!$D$1</f>
        <v>0</v>
      </c>
    </row>
    <row r="16" spans="1:18" x14ac:dyDescent="0.3">
      <c r="A16" s="18" t="s">
        <v>43</v>
      </c>
      <c r="B16" s="19"/>
      <c r="C16" s="19"/>
      <c r="E16" s="7" t="str">
        <f>Настройки!E15</f>
        <v>Рецензент (Видео+Текст)</v>
      </c>
      <c r="F16" s="11">
        <v>0</v>
      </c>
      <c r="G16" s="12">
        <f>F16 * Настройки!F15 * Настройки!$D$1</f>
        <v>0</v>
      </c>
    </row>
    <row r="17" spans="1:15" x14ac:dyDescent="0.3">
      <c r="A17" s="7" t="str">
        <f>Настройки!A16</f>
        <v>Магия чисел (11:11 и т.д.)</v>
      </c>
      <c r="B17" s="11">
        <v>0</v>
      </c>
      <c r="C17" s="12">
        <f>B17 * Настройки!B16 * Настройки!$D$1</f>
        <v>0</v>
      </c>
      <c r="E17" s="7" t="str">
        <f>Настройки!E16</f>
        <v>Диджей (Плейлист)</v>
      </c>
      <c r="F17" s="11">
        <v>0</v>
      </c>
      <c r="G17" s="12">
        <f>F17 * Настройки!F16 * Настройки!$D$1</f>
        <v>0</v>
      </c>
      <c r="I17" s="18" t="s">
        <v>32</v>
      </c>
      <c r="J17" s="19"/>
      <c r="K17" s="19"/>
      <c r="M17" s="18" t="s">
        <v>47</v>
      </c>
      <c r="N17" s="19"/>
      <c r="O17" s="19"/>
    </row>
    <row r="18" spans="1:15" x14ac:dyDescent="0.3">
      <c r="A18" s="7" t="str">
        <f>Настройки!A17</f>
        <v>Ранняя пташка (05:00)</v>
      </c>
      <c r="B18" s="11">
        <v>0</v>
      </c>
      <c r="C18" s="12">
        <f>B18 * Настройки!B17 * Настройки!$D$1</f>
        <v>0</v>
      </c>
      <c r="I18" s="7" t="str">
        <f>Настройки!I17</f>
        <v>Болтун (20 твоих ответов)</v>
      </c>
      <c r="J18" s="11">
        <v>0</v>
      </c>
      <c r="K18" s="12">
        <f>J18 * Настройки!J17 * Настройки!$D$1</f>
        <v>0</v>
      </c>
      <c r="M18" s="7" t="str">
        <f>Настройки!M17</f>
        <v>Резонанс Толпы (5 одинак. эмодзи)</v>
      </c>
      <c r="N18" s="11">
        <v>0</v>
      </c>
      <c r="O18" s="12">
        <f>N18 * Настройки!N17 * Настройки!$D$1</f>
        <v>0</v>
      </c>
    </row>
    <row r="19" spans="1:15" x14ac:dyDescent="0.3">
      <c r="A19" s="7" t="str">
        <f>Настройки!A18</f>
        <v>Лев Толстой (&gt;1000 симв)</v>
      </c>
      <c r="B19" s="11">
        <v>0</v>
      </c>
      <c r="C19" s="12">
        <f>B19 * Настройки!B18 * Настройки!$D$1</f>
        <v>0</v>
      </c>
      <c r="E19" s="18" t="s">
        <v>32</v>
      </c>
      <c r="F19" s="19"/>
      <c r="G19" s="19"/>
      <c r="I19" s="7" t="str">
        <f>Настройки!I18</f>
        <v>Центр (20 ответов тебе)</v>
      </c>
      <c r="J19" s="11">
        <v>0</v>
      </c>
      <c r="K19" s="12">
        <f>J19 * Настройки!J18 * Настройки!$D$1</f>
        <v>0</v>
      </c>
      <c r="M19" s="7" t="str">
        <f>Настройки!M18</f>
        <v>Разрыв Интернета (15 лайков)</v>
      </c>
      <c r="N19" s="11">
        <v>0</v>
      </c>
      <c r="O19" s="12">
        <f>N19 * Настройки!N18 * Настройки!$D$1</f>
        <v>0</v>
      </c>
    </row>
    <row r="20" spans="1:15" x14ac:dyDescent="0.3">
      <c r="A20" s="7" t="str">
        <f>Настройки!A19</f>
        <v>Юбилейное сообщение</v>
      </c>
      <c r="B20" s="11">
        <v>0</v>
      </c>
      <c r="C20" s="12">
        <f>B20 * Настройки!B19 * Настройки!$D$1</f>
        <v>0</v>
      </c>
      <c r="E20" s="7" t="str">
        <f>Настройки!E19</f>
        <v>Фотограф (3+ фото)</v>
      </c>
      <c r="F20" s="11">
        <v>0</v>
      </c>
      <c r="G20" s="12">
        <f>F20 * Настройки!F19 * Настройки!$D$1</f>
        <v>0</v>
      </c>
      <c r="I20" s="7" t="str">
        <f>Настройки!I19</f>
        <v>Щедрая душа (5 лайков)</v>
      </c>
      <c r="J20" s="11">
        <v>0</v>
      </c>
      <c r="K20" s="12">
        <f>J20 * Настройки!J19 * Настройки!$D$1</f>
        <v>0</v>
      </c>
    </row>
    <row r="21" spans="1:15" x14ac:dyDescent="0.3">
      <c r="A21" s="7" t="str">
        <f>Настройки!A20</f>
        <v>Резонанс (Секретное слово)</v>
      </c>
      <c r="B21" s="11">
        <v>0</v>
      </c>
      <c r="C21" s="12">
        <f>B21 * Настройки!B20 * Настройки!$D$1</f>
        <v>0</v>
      </c>
      <c r="E21" s="7" t="str">
        <f>Настройки!E20</f>
        <v>Режиссер (2 видео)</v>
      </c>
      <c r="F21" s="11">
        <v>0</v>
      </c>
      <c r="G21" s="12">
        <f>F21 * Настройки!F20 * Настройки!$D$1</f>
        <v>0</v>
      </c>
      <c r="I21" s="7" t="str">
        <f>Настройки!I20</f>
        <v>Любимчик (10 лайков тебе)</v>
      </c>
      <c r="J21" s="11">
        <v>0</v>
      </c>
      <c r="K21" s="12">
        <f>J21 * Настройки!J20 * Настройки!$D$1</f>
        <v>0</v>
      </c>
      <c r="M21" s="18" t="s">
        <v>62</v>
      </c>
      <c r="N21" s="19"/>
      <c r="O21" s="19"/>
    </row>
    <row r="22" spans="1:15" x14ac:dyDescent="0.3">
      <c r="A22" s="7" t="str">
        <f>Настройки!A21</f>
        <v>Критический удар (Шанс 2%)</v>
      </c>
      <c r="B22" s="11">
        <v>0</v>
      </c>
      <c r="C22" s="12">
        <f>B22 * Настройки!B21 * Настройки!$D$1</f>
        <v>0</v>
      </c>
      <c r="E22" s="7" t="str">
        <f>Настройки!E21</f>
        <v>Лицом торгуешь (5 кружков)</v>
      </c>
      <c r="F22" s="11">
        <v>0</v>
      </c>
      <c r="G22" s="12">
        <f>F22 * Настройки!F21 * Настройки!$D$1</f>
        <v>0</v>
      </c>
      <c r="M22" s="7" t="str">
        <f>Настройки!M21</f>
        <v>Поимка Золотой Лягушки</v>
      </c>
      <c r="N22" s="11">
        <v>0</v>
      </c>
      <c r="O22" s="12">
        <f>N22 * Настройки!N21 * Настройки!$D$1</f>
        <v>0</v>
      </c>
    </row>
    <row r="23" spans="1:15" x14ac:dyDescent="0.3">
      <c r="A23" s="7" t="str">
        <f>Настройки!A22</f>
        <v>Амбассадор вежливости</v>
      </c>
      <c r="B23" s="11">
        <v>0</v>
      </c>
      <c r="C23" s="12">
        <f>B23 * Настройки!B22 * Настройки!$D$1</f>
        <v>0</v>
      </c>
      <c r="E23" s="7" t="str">
        <f>Настройки!E22</f>
        <v>Меломан (5 треков)</v>
      </c>
      <c r="F23" s="11">
        <v>0</v>
      </c>
      <c r="G23" s="12">
        <f>F23 * Настройки!F22 * Настройки!$D$1</f>
        <v>0</v>
      </c>
      <c r="I23" s="18" t="s">
        <v>43</v>
      </c>
      <c r="J23" s="19"/>
      <c r="K23" s="19"/>
    </row>
    <row r="24" spans="1:15" x14ac:dyDescent="0.3">
      <c r="E24" s="7" t="str">
        <f>Настройки!E23</f>
        <v>Радио (4 войса)</v>
      </c>
      <c r="F24" s="11">
        <v>0</v>
      </c>
      <c r="G24" s="12">
        <f>F24 * Настройки!F23 * Настройки!$D$1</f>
        <v>0</v>
      </c>
      <c r="I24" s="7" t="str">
        <f>Настройки!I23</f>
        <v>Хлеб-соль (Ответ новичку)</v>
      </c>
      <c r="J24" s="11">
        <v>0</v>
      </c>
      <c r="K24" s="12">
        <f>J24 * Настройки!J23 * Настройки!$D$1</f>
        <v>0</v>
      </c>
    </row>
    <row r="25" spans="1:15" x14ac:dyDescent="0.3">
      <c r="A25" s="18" t="s">
        <v>70</v>
      </c>
      <c r="B25" s="19"/>
      <c r="C25" s="19"/>
      <c r="E25" s="7" t="str">
        <f>Настройки!E24</f>
        <v>Гифошная (10 гиф)</v>
      </c>
      <c r="F25" s="11">
        <v>0</v>
      </c>
      <c r="G25" s="12">
        <f>F25 * Настройки!F24 * Настройки!$D$1</f>
        <v>0</v>
      </c>
      <c r="I25" s="7" t="str">
        <f>Настройки!I24</f>
        <v>Пинг-понг (Ответ &lt; 10 сек)</v>
      </c>
      <c r="J25" s="11">
        <v>0</v>
      </c>
      <c r="K25" s="12">
        <f>J25 * Настройки!J24 * Настройки!$D$1</f>
        <v>0</v>
      </c>
    </row>
    <row r="26" spans="1:15" x14ac:dyDescent="0.3">
      <c r="A26" s="7" t="str">
        <f>Настройки!A25</f>
        <v>Копипаст</v>
      </c>
      <c r="B26" s="11">
        <v>0</v>
      </c>
      <c r="C26" s="12">
        <f>B26 * Настройки!B25 * Настройки!$D$1</f>
        <v>0</v>
      </c>
      <c r="I26" s="7" t="str">
        <f>Настройки!I25</f>
        <v>Некромант (Ответ на пост &gt;48ч)</v>
      </c>
      <c r="J26" s="11">
        <v>0</v>
      </c>
      <c r="K26" s="12">
        <f>J26 * Настройки!J25 * Настройки!$D$1</f>
        <v>0</v>
      </c>
    </row>
    <row r="28" spans="1:15" x14ac:dyDescent="0.3">
      <c r="I28" s="18" t="s">
        <v>70</v>
      </c>
      <c r="J28" s="19"/>
      <c r="K28" s="19"/>
    </row>
    <row r="29" spans="1:15" x14ac:dyDescent="0.3">
      <c r="I29" s="7" t="str">
        <f>Настройки!I28</f>
        <v>Не в ту дверь (Нарушение)</v>
      </c>
      <c r="J29" s="11">
        <v>0</v>
      </c>
      <c r="K29" s="12">
        <f>J29 * Настройки!J28 * Настройки!$D$1</f>
        <v>0</v>
      </c>
    </row>
    <row r="30" spans="1:15" x14ac:dyDescent="0.3">
      <c r="I30" s="7" t="str">
        <f>Настройки!I29</f>
        <v>Удаление (Токсик)</v>
      </c>
      <c r="J30" s="11">
        <v>0</v>
      </c>
      <c r="K30" s="12">
        <f>J30 * Настройки!J29 * Настройки!$D$1</f>
        <v>0</v>
      </c>
    </row>
  </sheetData>
  <mergeCells count="20">
    <mergeCell ref="A1:B2"/>
    <mergeCell ref="I11:K11"/>
    <mergeCell ref="E14:G14"/>
    <mergeCell ref="E5:G5"/>
    <mergeCell ref="C1:D2"/>
    <mergeCell ref="A5:C5"/>
    <mergeCell ref="I5:K5"/>
    <mergeCell ref="M5:O5"/>
    <mergeCell ref="A16:C16"/>
    <mergeCell ref="A25:C25"/>
    <mergeCell ref="E19:G19"/>
    <mergeCell ref="I28:K28"/>
    <mergeCell ref="M13:O13"/>
    <mergeCell ref="A12:C12"/>
    <mergeCell ref="M21:O21"/>
    <mergeCell ref="I23:K23"/>
    <mergeCell ref="M17:O17"/>
    <mergeCell ref="I17:K17"/>
    <mergeCell ref="A9:C9"/>
    <mergeCell ref="M9:O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Настройки</vt:lpstr>
      <vt:lpstr>Симулятор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 клименко</cp:lastModifiedBy>
  <dcterms:created xsi:type="dcterms:W3CDTF">2026-03-20T05:51:43Z</dcterms:created>
  <dcterms:modified xsi:type="dcterms:W3CDTF">2026-03-21T20:22:17Z</dcterms:modified>
</cp:coreProperties>
</file>