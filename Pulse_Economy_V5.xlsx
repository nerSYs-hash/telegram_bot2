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bot_2\telegram_bot2\"/>
    </mc:Choice>
  </mc:AlternateContent>
  <xr:revisionPtr revIDLastSave="0" documentId="13_ncr:1_{81CB63E1-60C0-4120-BDC1-A3B6B015065D}" xr6:coauthVersionLast="47" xr6:coauthVersionMax="47" xr10:uidLastSave="{00000000-0000-0000-0000-000000000000}"/>
  <bookViews>
    <workbookView xWindow="-108" yWindow="-108" windowWidth="23256" windowHeight="12456" xr2:uid="{00000000-000D-0000-FFFF-FFFF00000000}"/>
  </bookViews>
  <sheets>
    <sheet name="Настройки" sheetId="1" r:id="rId1"/>
    <sheet name="Симулятор"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0" i="2" l="1"/>
  <c r="I30" i="2"/>
  <c r="K29" i="2"/>
  <c r="I29" i="2"/>
  <c r="K26" i="2"/>
  <c r="I26" i="2"/>
  <c r="C26" i="2"/>
  <c r="A26" i="2"/>
  <c r="K25" i="2"/>
  <c r="I25" i="2"/>
  <c r="G25" i="2"/>
  <c r="E25" i="2"/>
  <c r="K24" i="2"/>
  <c r="I24" i="2"/>
  <c r="G24" i="2"/>
  <c r="E24" i="2"/>
  <c r="G23" i="2"/>
  <c r="E23" i="2"/>
  <c r="C23" i="2"/>
  <c r="A23" i="2"/>
  <c r="O22" i="2"/>
  <c r="M22" i="2"/>
  <c r="G22" i="2"/>
  <c r="E22" i="2"/>
  <c r="C22" i="2"/>
  <c r="A22" i="2"/>
  <c r="K21" i="2"/>
  <c r="I21" i="2"/>
  <c r="G21" i="2"/>
  <c r="E21" i="2"/>
  <c r="C21" i="2"/>
  <c r="A21" i="2"/>
  <c r="K20" i="2"/>
  <c r="I20" i="2"/>
  <c r="G20" i="2"/>
  <c r="E20" i="2"/>
  <c r="C20" i="2"/>
  <c r="A20" i="2"/>
  <c r="O19" i="2"/>
  <c r="M19" i="2"/>
  <c r="K19" i="2"/>
  <c r="I19" i="2"/>
  <c r="C19" i="2"/>
  <c r="A19" i="2"/>
  <c r="O18" i="2"/>
  <c r="M18" i="2"/>
  <c r="K18" i="2"/>
  <c r="I18" i="2"/>
  <c r="C18" i="2"/>
  <c r="A18" i="2"/>
  <c r="G17" i="2"/>
  <c r="E17" i="2"/>
  <c r="C17" i="2"/>
  <c r="A17" i="2"/>
  <c r="G16" i="2"/>
  <c r="E16" i="2"/>
  <c r="O15" i="2"/>
  <c r="M15" i="2"/>
  <c r="K15" i="2"/>
  <c r="I15" i="2"/>
  <c r="G15" i="2"/>
  <c r="E15" i="2"/>
  <c r="O14" i="2"/>
  <c r="M14" i="2"/>
  <c r="K14" i="2"/>
  <c r="I14" i="2"/>
  <c r="C14" i="2"/>
  <c r="A14" i="2"/>
  <c r="K13" i="2"/>
  <c r="I13" i="2"/>
  <c r="C13" i="2"/>
  <c r="R3" i="2" s="1"/>
  <c r="A13" i="2"/>
  <c r="K12" i="2"/>
  <c r="I12" i="2"/>
  <c r="G12" i="2"/>
  <c r="E12" i="2"/>
  <c r="O11" i="2"/>
  <c r="M11" i="2"/>
  <c r="G11" i="2"/>
  <c r="E11" i="2"/>
  <c r="O10" i="2"/>
  <c r="M10" i="2"/>
  <c r="G10" i="2"/>
  <c r="E10" i="2"/>
  <c r="C10" i="2"/>
  <c r="A10" i="2"/>
  <c r="K9" i="2"/>
  <c r="I9" i="2"/>
  <c r="G9" i="2"/>
  <c r="E9" i="2"/>
  <c r="K8" i="2"/>
  <c r="I8" i="2"/>
  <c r="G8" i="2"/>
  <c r="E8" i="2"/>
  <c r="O7" i="2"/>
  <c r="M7" i="2"/>
  <c r="K7" i="2"/>
  <c r="I7" i="2"/>
  <c r="G7" i="2"/>
  <c r="E7" i="2"/>
  <c r="C7" i="2"/>
  <c r="A7" i="2"/>
  <c r="O6" i="2"/>
  <c r="M6" i="2"/>
  <c r="K6" i="2"/>
  <c r="R5" i="2" s="1"/>
  <c r="I6" i="2"/>
  <c r="G6" i="2"/>
  <c r="R4" i="2" s="1"/>
  <c r="E6" i="2"/>
  <c r="C6" i="2"/>
  <c r="A6" i="2"/>
  <c r="R6" i="2" l="1"/>
  <c r="C1" i="2" s="1"/>
</calcChain>
</file>

<file path=xl/sharedStrings.xml><?xml version="1.0" encoding="utf-8"?>
<sst xmlns="http://schemas.openxmlformats.org/spreadsheetml/2006/main" count="179" uniqueCount="88">
  <si>
    <t>ГЛОБАЛЬНАЯ БАЗА (1x) =</t>
  </si>
  <si>
    <t>💎 Пульсов</t>
  </si>
  <si>
    <t>📝 ТЕКСТ И ОБЩЕНИЕ</t>
  </si>
  <si>
    <t>Коэф. (x)</t>
  </si>
  <si>
    <t>Частота</t>
  </si>
  <si>
    <t>📷 МЕДИА И ВЛОЖЕНИЯ</t>
  </si>
  <si>
    <t>🤝 СОЦИУМ И РЕАКЦИИ</t>
  </si>
  <si>
    <t>🌍 БИОМЫ И ИВЕНТЫ</t>
  </si>
  <si>
    <t>🔹 БАЗА</t>
  </si>
  <si>
    <t>🟢 ПРОСТЫЕ</t>
  </si>
  <si>
    <t>Текст (сообщение)</t>
  </si>
  <si>
    <t>-</t>
  </si>
  <si>
    <t>Фото</t>
  </si>
  <si>
    <t>Ответ (ты ответил)</t>
  </si>
  <si>
    <t>Без спойлеров (КиноON)</t>
  </si>
  <si>
    <t>12 часов</t>
  </si>
  <si>
    <t>Эмодзи (без текста)</t>
  </si>
  <si>
    <t>Фото (2+ в спец. ветке)</t>
  </si>
  <si>
    <t>Ответ (тебе ответили)</t>
  </si>
  <si>
    <t>Организатор (Встречи)</t>
  </si>
  <si>
    <t>24 часа</t>
  </si>
  <si>
    <t>Видео обычное</t>
  </si>
  <si>
    <t>Лайк (ты поставил)</t>
  </si>
  <si>
    <t>🔥 КОМБО</t>
  </si>
  <si>
    <t>Видео кружок</t>
  </si>
  <si>
    <t>Лайк (тебе поставили)</t>
  </si>
  <si>
    <t>🔵 СРЕДНИЕ</t>
  </si>
  <si>
    <t>Писатель (&gt; 50 симв)</t>
  </si>
  <si>
    <t>Аудио / Ссылка</t>
  </si>
  <si>
    <t>Сбор Пати (ЗадротыON)</t>
  </si>
  <si>
    <t>Голосовое (Voice)</t>
  </si>
  <si>
    <t>Журналист (НьюзON)</t>
  </si>
  <si>
    <t>🚀 СПРИНТЫ</t>
  </si>
  <si>
    <t>GIF-анимация</t>
  </si>
  <si>
    <t>Острый язычок (&gt;2 репостов)</t>
  </si>
  <si>
    <t>Основа чата (10 сообщ)</t>
  </si>
  <si>
    <t>Вирусный пост (&gt;2 лайков)</t>
  </si>
  <si>
    <t>🟣 СЛОЖНЫЕ</t>
  </si>
  <si>
    <t>Эмоциональный (10 эмодзи)</t>
  </si>
  <si>
    <t>Хит (4 лайка)</t>
  </si>
  <si>
    <t>Ночной Дозор (ПлюсON)</t>
  </si>
  <si>
    <t>Иллюстратор (Текст+Фото)</t>
  </si>
  <si>
    <t>Легенда (6+ лайков)</t>
  </si>
  <si>
    <t>Сваха (BBS)</t>
  </si>
  <si>
    <t>Неделя</t>
  </si>
  <si>
    <t>🎁 СЕКРЕТЫ (Пасхалки)</t>
  </si>
  <si>
    <t>Рецензент (Видео+Текст)</t>
  </si>
  <si>
    <t>Магия чисел (11:11 и т.д.)</t>
  </si>
  <si>
    <t>Диджей (Плейлист)</t>
  </si>
  <si>
    <t>🟡 ЛЕГЕНДАРНЫЕ</t>
  </si>
  <si>
    <t>Ранняя пташка (05:00)</t>
  </si>
  <si>
    <t>Болтун (20 твоих ответов)</t>
  </si>
  <si>
    <t>1 час</t>
  </si>
  <si>
    <t>Резонанс Толпы (5 одинак. эмодзи)</t>
  </si>
  <si>
    <t>Рандом</t>
  </si>
  <si>
    <t>Лев Толстой (&gt;1000 симв)</t>
  </si>
  <si>
    <t>Центр (20 ответов тебе)</t>
  </si>
  <si>
    <t>Разрыв Интернета (15 лайков)</t>
  </si>
  <si>
    <t>Юбилейное сообщение</t>
  </si>
  <si>
    <t>Фотограф (3+ фото)</t>
  </si>
  <si>
    <t>Щедрая душа (5 лайков)</t>
  </si>
  <si>
    <t>Резонанс (Секретное слово)</t>
  </si>
  <si>
    <t>Режиссер (2 видео)</t>
  </si>
  <si>
    <t>Любимчик (10 лайков тебе)</t>
  </si>
  <si>
    <t>🐸 ИВЕНТЫ</t>
  </si>
  <si>
    <t>Критический удар (Шанс 2%)</t>
  </si>
  <si>
    <t>Лицом торгуешь (5 кружков)</t>
  </si>
  <si>
    <t>Поимка Золотой Лягушки</t>
  </si>
  <si>
    <t>Амбассадор вежливости</t>
  </si>
  <si>
    <t>Меломан (5 треков)</t>
  </si>
  <si>
    <t>Радио (4 войса)</t>
  </si>
  <si>
    <t>Хлеб-соль (Ответ новичку)</t>
  </si>
  <si>
    <t>⛔ ШТРАФЫ</t>
  </si>
  <si>
    <t>Гифошная (10 гиф)</t>
  </si>
  <si>
    <t>Пинг-понг (Ответ &lt; 10 сек)</t>
  </si>
  <si>
    <t>Копипаст</t>
  </si>
  <si>
    <t>Некромант (Ответ на пост &gt;48ч)</t>
  </si>
  <si>
    <t>Не в ту дверь (Нарушение)</t>
  </si>
  <si>
    <t>Удаление (Токсик)</t>
  </si>
  <si>
    <t>ИТОГО ЗА ДЕНЬ:</t>
  </si>
  <si>
    <t>Сектор</t>
  </si>
  <si>
    <t>Заработано</t>
  </si>
  <si>
    <t>Текст</t>
  </si>
  <si>
    <t>Кол-во</t>
  </si>
  <si>
    <t>💎 Итого</t>
  </si>
  <si>
    <t>Медиа</t>
  </si>
  <si>
    <t>Социум</t>
  </si>
  <si>
    <t>Биомы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</si>
</sst>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 \_xd83d_\_xdc8e_"/>
  </numFmts>
  <fonts count="9" x14ac:knownFonts="1">
    <font>
      <sz val="11"/>
      <color theme="1"/>
      <name val="Calibri"/>
      <family val="2"/>
      <scheme val="minor"/>
    </font>
    <font>
      <b/>
      <sz val="14"/>
      <color rgb="FF2C3E50"/>
      <name val="Calibri"/>
    </font>
    <font>
      <b/>
      <sz val="14"/>
      <color rgb="FFE74C3C"/>
      <name val="Calibri"/>
    </font>
    <font>
      <b/>
      <sz val="11"/>
      <color rgb="FFFFFFFF"/>
      <name val="Calibri"/>
    </font>
    <font>
      <b/>
      <i/>
      <sz val="11"/>
      <color rgb="FF2C3E50"/>
      <name val="Calibri"/>
    </font>
    <font>
      <b/>
      <sz val="16"/>
      <name val="Calibri"/>
    </font>
    <font>
      <b/>
      <sz val="20"/>
      <color rgb="FF27AE60"/>
      <name val="Calibri"/>
    </font>
    <font>
      <b/>
      <sz val="11"/>
      <color rgb="FF2C3E50"/>
      <name val="Calibri"/>
    </font>
    <font>
      <b/>
      <sz val="11"/>
      <name val="Calibri"/>
    </font>
  </fonts>
  <fills count="10">
    <fill>
      <patternFill patternType="none"/>
    </fill>
    <fill>
      <patternFill patternType="gray125"/>
    </fill>
    <fill>
      <patternFill patternType="solid">
        <fgColor rgb="FF34495E"/>
      </patternFill>
    </fill>
    <fill>
      <patternFill patternType="solid">
        <fgColor rgb="FFE5E7E9"/>
      </patternFill>
    </fill>
    <fill>
      <patternFill patternType="solid">
        <fgColor rgb="FF8E44AD"/>
      </patternFill>
    </fill>
    <fill>
      <patternFill patternType="solid">
        <fgColor rgb="FFD35400"/>
      </patternFill>
    </fill>
    <fill>
      <patternFill patternType="solid">
        <fgColor rgb="FF16A085"/>
      </patternFill>
    </fill>
    <fill>
      <patternFill patternType="solid">
        <fgColor rgb="FFFFF2CC"/>
      </patternFill>
    </fill>
    <fill>
      <patternFill patternType="solid">
        <fgColor theme="5" tint="0.59999389629810485"/>
        <bgColor indexed="64"/>
      </patternFill>
    </fill>
    <fill>
      <patternFill patternType="solid">
        <fgColor theme="6"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164" fontId="2" fillId="0" borderId="0" xfId="0" applyNumberFormat="1" applyFont="1"/>
    <xf numFmtId="0" fontId="1" fillId="0" borderId="0" xfId="0" applyFont="1"/>
    <xf numFmtId="0" fontId="3" fillId="2" borderId="0" xfId="0" applyFont="1" applyFill="1"/>
    <xf numFmtId="0" fontId="3" fillId="4" borderId="0" xfId="0" applyFont="1" applyFill="1"/>
    <xf numFmtId="0" fontId="3" fillId="5" borderId="0" xfId="0" applyFont="1" applyFill="1"/>
    <xf numFmtId="0" fontId="3" fillId="6" borderId="0" xfId="0" applyFont="1" applyFill="1"/>
    <xf numFmtId="0" fontId="0" fillId="0" borderId="1" xfId="0" applyBorder="1"/>
    <xf numFmtId="0" fontId="0" fillId="0" borderId="1" xfId="0" applyBorder="1" applyAlignment="1">
      <alignment horizontal="center" vertical="center"/>
    </xf>
    <xf numFmtId="0" fontId="8" fillId="0" borderId="0" xfId="0" applyFont="1"/>
    <xf numFmtId="164" fontId="0" fillId="0" borderId="0" xfId="0" applyNumberFormat="1"/>
    <xf numFmtId="0" fontId="0" fillId="7" borderId="1" xfId="0" applyFill="1" applyBorder="1" applyAlignment="1">
      <alignment horizontal="center" vertical="center"/>
    </xf>
    <xf numFmtId="164" fontId="7" fillId="0" borderId="1" xfId="0" applyNumberFormat="1" applyFont="1" applyBorder="1"/>
    <xf numFmtId="0" fontId="4" fillId="3" borderId="1" xfId="0" applyFont="1" applyFill="1" applyBorder="1" applyAlignment="1">
      <alignment horizontal="center" vertical="center"/>
    </xf>
    <xf numFmtId="0" fontId="0" fillId="0" borderId="1" xfId="0" applyBorder="1"/>
    <xf numFmtId="0" fontId="1" fillId="0" borderId="0" xfId="0" applyFont="1" applyAlignment="1">
      <alignment horizontal="right"/>
    </xf>
    <xf numFmtId="0" fontId="0" fillId="0" borderId="0" xfId="0"/>
    <xf numFmtId="0" fontId="5" fillId="0" borderId="0" xfId="0" applyFont="1" applyAlignment="1">
      <alignment horizontal="right" vertical="center"/>
    </xf>
    <xf numFmtId="165" fontId="6" fillId="0" borderId="0" xfId="0" applyNumberFormat="1" applyFont="1" applyAlignment="1">
      <alignment horizontal="left" vertical="center"/>
    </xf>
    <xf numFmtId="0" fontId="0" fillId="8" borderId="1" xfId="0" applyFill="1" applyBorder="1"/>
    <xf numFmtId="0" fontId="0" fillId="8" borderId="1" xfId="0" applyFill="1" applyBorder="1" applyAlignment="1">
      <alignment horizontal="center" vertical="center"/>
    </xf>
    <xf numFmtId="0" fontId="4" fillId="9" borderId="1" xfId="0" applyFont="1" applyFill="1" applyBorder="1" applyAlignment="1">
      <alignment horizontal="center" vertical="center"/>
    </xf>
    <xf numFmtId="0" fontId="0" fillId="9" borderId="1" xfId="0" applyFill="1" applyBorder="1"/>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a:defRPr/>
            </a:pPr>
            <a:r>
              <a:t>Источники дохода 💎</a:t>
            </a:r>
          </a:p>
        </c:rich>
      </c:tx>
      <c:overlay val="1"/>
    </c:title>
    <c:autoTitleDeleted val="0"/>
    <c:plotArea>
      <c:layout/>
      <c:pieChart>
        <c:varyColors val="1"/>
        <c:ser>
          <c:idx val="0"/>
          <c:order val="0"/>
          <c:tx>
            <c:strRef>
              <c:f>Симулятор!$R$2</c:f>
              <c:strCache>
                <c:ptCount val="1"/>
                <c:pt idx="0">
                  <c:v>Заработано</c:v>
                </c:pt>
              </c:strCache>
            </c:strRef>
          </c:tx>
          <c:spPr>
            <a:ln>
              <a:prstDash val="solid"/>
            </a:ln>
          </c:spPr>
          <c:cat>
            <c:strRef>
              <c:f>Симулятор!$Q$3:$Q$6</c:f>
              <c:strCache>
                <c:ptCount val="4"/>
                <c:pt idx="0">
                  <c:v>Текст</c:v>
                </c:pt>
                <c:pt idx="1">
                  <c:v>Медиа</c:v>
                </c:pt>
                <c:pt idx="2">
                  <c:v>Социум</c:v>
                </c:pt>
                <c:pt idx="3">
                  <c:v>Биомы</c:v>
                </c:pt>
              </c:strCache>
            </c:strRef>
          </c:cat>
          <c:val>
            <c:numRef>
              <c:f>Симулятор!$R$3:$R$6</c:f>
              <c:numCache>
                <c:formatCode>0.000</c:formatCode>
                <c:ptCount val="4"/>
                <c:pt idx="0">
                  <c:v>0</c:v>
                </c:pt>
                <c:pt idx="1">
                  <c:v>0</c:v>
                </c:pt>
                <c:pt idx="2">
                  <c:v>0</c:v>
                </c:pt>
                <c:pt idx="3">
                  <c:v>0</c:v>
                </c:pt>
              </c:numCache>
            </c:numRef>
          </c:val>
          <c:extLst>
            <c:ext xmlns:c16="http://schemas.microsoft.com/office/drawing/2014/chart" uri="{C3380CC4-5D6E-409C-BE32-E72D297353CC}">
              <c16:uniqueId val="{00000000-1976-44E5-8355-3546A18B8622}"/>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16</xdr:col>
      <xdr:colOff>0</xdr:colOff>
      <xdr:row>7</xdr:row>
      <xdr:rowOff>0</xdr:rowOff>
    </xdr:from>
    <xdr:ext cx="5400000" cy="270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9"/>
  <sheetViews>
    <sheetView tabSelected="1" topLeftCell="A2" workbookViewId="0">
      <selection activeCell="A15" sqref="A15:C15"/>
    </sheetView>
  </sheetViews>
  <sheetFormatPr defaultRowHeight="14.4" x14ac:dyDescent="0.3"/>
  <cols>
    <col min="1" max="1" width="32" customWidth="1"/>
    <col min="2" max="2" width="10" customWidth="1"/>
    <col min="3" max="3" width="12" customWidth="1"/>
    <col min="4" max="4" width="2" customWidth="1"/>
    <col min="5" max="5" width="32" customWidth="1"/>
    <col min="6" max="6" width="10" customWidth="1"/>
    <col min="7" max="7" width="12" customWidth="1"/>
    <col min="8" max="8" width="2" customWidth="1"/>
    <col min="9" max="9" width="32" customWidth="1"/>
    <col min="10" max="10" width="10" customWidth="1"/>
    <col min="11" max="11" width="12" customWidth="1"/>
    <col min="12" max="12" width="2" customWidth="1"/>
    <col min="13" max="13" width="32" customWidth="1"/>
    <col min="14" max="14" width="10" customWidth="1"/>
    <col min="15" max="15" width="12" customWidth="1"/>
    <col min="16" max="16" width="2" customWidth="1"/>
  </cols>
  <sheetData>
    <row r="1" spans="1:15" ht="18" x14ac:dyDescent="0.35">
      <c r="A1" s="15" t="s">
        <v>0</v>
      </c>
      <c r="B1" s="16"/>
      <c r="C1" s="16"/>
      <c r="D1" s="1">
        <v>2E-3</v>
      </c>
      <c r="E1" s="2" t="s">
        <v>1</v>
      </c>
    </row>
    <row r="3" spans="1:15" x14ac:dyDescent="0.3">
      <c r="A3" s="3" t="s">
        <v>2</v>
      </c>
      <c r="B3" s="3" t="s">
        <v>3</v>
      </c>
      <c r="C3" s="3" t="s">
        <v>4</v>
      </c>
      <c r="E3" s="4" t="s">
        <v>5</v>
      </c>
      <c r="F3" s="4" t="s">
        <v>3</v>
      </c>
      <c r="G3" s="4" t="s">
        <v>4</v>
      </c>
      <c r="I3" s="5" t="s">
        <v>6</v>
      </c>
      <c r="J3" s="5" t="s">
        <v>3</v>
      </c>
      <c r="K3" s="5" t="s">
        <v>4</v>
      </c>
      <c r="M3" s="6" t="s">
        <v>7</v>
      </c>
      <c r="N3" s="6" t="s">
        <v>3</v>
      </c>
      <c r="O3" s="6" t="s">
        <v>4</v>
      </c>
    </row>
    <row r="4" spans="1:15" x14ac:dyDescent="0.3">
      <c r="A4" s="13" t="s">
        <v>8</v>
      </c>
      <c r="B4" s="14"/>
      <c r="C4" s="14"/>
      <c r="E4" s="13" t="s">
        <v>8</v>
      </c>
      <c r="F4" s="14"/>
      <c r="G4" s="14"/>
      <c r="I4" s="13" t="s">
        <v>8</v>
      </c>
      <c r="J4" s="14"/>
      <c r="K4" s="14"/>
      <c r="M4" s="13" t="s">
        <v>9</v>
      </c>
      <c r="N4" s="14"/>
      <c r="O4" s="14"/>
    </row>
    <row r="5" spans="1:15" x14ac:dyDescent="0.3">
      <c r="A5" s="7" t="s">
        <v>10</v>
      </c>
      <c r="B5" s="8">
        <v>1</v>
      </c>
      <c r="C5" s="8" t="s">
        <v>11</v>
      </c>
      <c r="E5" s="7" t="s">
        <v>12</v>
      </c>
      <c r="F5" s="8">
        <v>4</v>
      </c>
      <c r="G5" s="8" t="s">
        <v>11</v>
      </c>
      <c r="I5" s="7" t="s">
        <v>13</v>
      </c>
      <c r="J5" s="8">
        <v>1</v>
      </c>
      <c r="K5" s="8" t="s">
        <v>11</v>
      </c>
      <c r="M5" s="7" t="s">
        <v>14</v>
      </c>
      <c r="N5" s="8">
        <v>1000</v>
      </c>
      <c r="O5" s="8" t="s">
        <v>15</v>
      </c>
    </row>
    <row r="6" spans="1:15" x14ac:dyDescent="0.3">
      <c r="A6" s="7" t="s">
        <v>16</v>
      </c>
      <c r="B6" s="8">
        <v>1</v>
      </c>
      <c r="C6" s="8" t="s">
        <v>11</v>
      </c>
      <c r="E6" s="7" t="s">
        <v>17</v>
      </c>
      <c r="F6" s="8">
        <v>6</v>
      </c>
      <c r="G6" s="8" t="s">
        <v>11</v>
      </c>
      <c r="I6" s="7" t="s">
        <v>18</v>
      </c>
      <c r="J6" s="8">
        <v>1</v>
      </c>
      <c r="K6" s="8" t="s">
        <v>11</v>
      </c>
      <c r="M6" s="7" t="s">
        <v>19</v>
      </c>
      <c r="N6" s="8">
        <v>1500</v>
      </c>
      <c r="O6" s="8" t="s">
        <v>20</v>
      </c>
    </row>
    <row r="7" spans="1:15" x14ac:dyDescent="0.3">
      <c r="E7" s="7" t="s">
        <v>21</v>
      </c>
      <c r="F7" s="8">
        <v>5</v>
      </c>
      <c r="G7" s="8" t="s">
        <v>11</v>
      </c>
      <c r="I7" s="7" t="s">
        <v>22</v>
      </c>
      <c r="J7" s="8">
        <v>1</v>
      </c>
      <c r="K7" s="8" t="s">
        <v>11</v>
      </c>
    </row>
    <row r="8" spans="1:15" x14ac:dyDescent="0.3">
      <c r="A8" s="13" t="s">
        <v>23</v>
      </c>
      <c r="B8" s="14"/>
      <c r="C8" s="14"/>
      <c r="E8" s="7" t="s">
        <v>24</v>
      </c>
      <c r="F8" s="8">
        <v>7</v>
      </c>
      <c r="G8" s="8" t="s">
        <v>11</v>
      </c>
      <c r="I8" s="7" t="s">
        <v>25</v>
      </c>
      <c r="J8" s="8">
        <v>2</v>
      </c>
      <c r="K8" s="8" t="s">
        <v>11</v>
      </c>
      <c r="M8" s="13" t="s">
        <v>26</v>
      </c>
      <c r="N8" s="14"/>
      <c r="O8" s="14"/>
    </row>
    <row r="9" spans="1:15" x14ac:dyDescent="0.3">
      <c r="A9" s="7" t="s">
        <v>27</v>
      </c>
      <c r="B9" s="8">
        <v>10</v>
      </c>
      <c r="C9" s="8" t="s">
        <v>20</v>
      </c>
      <c r="E9" s="7" t="s">
        <v>28</v>
      </c>
      <c r="F9" s="8">
        <v>2</v>
      </c>
      <c r="G9" s="8" t="s">
        <v>11</v>
      </c>
      <c r="M9" s="7" t="s">
        <v>29</v>
      </c>
      <c r="N9" s="8">
        <v>4000</v>
      </c>
      <c r="O9" s="8" t="s">
        <v>20</v>
      </c>
    </row>
    <row r="10" spans="1:15" x14ac:dyDescent="0.3">
      <c r="E10" s="7" t="s">
        <v>30</v>
      </c>
      <c r="F10" s="8">
        <v>3</v>
      </c>
      <c r="G10" s="8" t="s">
        <v>11</v>
      </c>
      <c r="I10" s="13" t="s">
        <v>23</v>
      </c>
      <c r="J10" s="14"/>
      <c r="K10" s="14"/>
      <c r="M10" s="7" t="s">
        <v>31</v>
      </c>
      <c r="N10" s="8">
        <v>5000</v>
      </c>
      <c r="O10" s="8" t="s">
        <v>15</v>
      </c>
    </row>
    <row r="11" spans="1:15" x14ac:dyDescent="0.3">
      <c r="A11" s="13" t="s">
        <v>32</v>
      </c>
      <c r="B11" s="14"/>
      <c r="C11" s="14"/>
      <c r="E11" s="7" t="s">
        <v>33</v>
      </c>
      <c r="F11" s="8">
        <v>1</v>
      </c>
      <c r="G11" s="8" t="s">
        <v>11</v>
      </c>
      <c r="I11" s="7" t="s">
        <v>34</v>
      </c>
      <c r="J11" s="8">
        <v>3</v>
      </c>
      <c r="K11" s="8" t="s">
        <v>20</v>
      </c>
    </row>
    <row r="12" spans="1:15" x14ac:dyDescent="0.3">
      <c r="A12" s="7" t="s">
        <v>35</v>
      </c>
      <c r="B12" s="8">
        <v>25</v>
      </c>
      <c r="C12" s="8" t="s">
        <v>20</v>
      </c>
      <c r="I12" s="7" t="s">
        <v>36</v>
      </c>
      <c r="J12" s="8">
        <v>2</v>
      </c>
      <c r="K12" s="8" t="s">
        <v>20</v>
      </c>
      <c r="M12" s="13" t="s">
        <v>37</v>
      </c>
      <c r="N12" s="14"/>
      <c r="O12" s="14"/>
    </row>
    <row r="13" spans="1:15" x14ac:dyDescent="0.3">
      <c r="A13" s="7" t="s">
        <v>38</v>
      </c>
      <c r="B13" s="8">
        <v>10</v>
      </c>
      <c r="C13" s="8" t="s">
        <v>20</v>
      </c>
      <c r="E13" s="13" t="s">
        <v>23</v>
      </c>
      <c r="F13" s="14"/>
      <c r="G13" s="14"/>
      <c r="I13" s="7" t="s">
        <v>39</v>
      </c>
      <c r="J13" s="8">
        <v>5</v>
      </c>
      <c r="K13" s="8" t="s">
        <v>20</v>
      </c>
      <c r="M13" s="7" t="s">
        <v>40</v>
      </c>
      <c r="N13" s="8">
        <v>12500</v>
      </c>
      <c r="O13" s="8" t="s">
        <v>20</v>
      </c>
    </row>
    <row r="14" spans="1:15" x14ac:dyDescent="0.3">
      <c r="E14" s="7" t="s">
        <v>41</v>
      </c>
      <c r="F14" s="8">
        <v>20</v>
      </c>
      <c r="G14" s="8" t="s">
        <v>20</v>
      </c>
      <c r="I14" s="7" t="s">
        <v>42</v>
      </c>
      <c r="J14" s="8">
        <v>10</v>
      </c>
      <c r="K14" s="8" t="s">
        <v>20</v>
      </c>
      <c r="M14" s="19" t="s">
        <v>43</v>
      </c>
      <c r="N14" s="20">
        <v>0</v>
      </c>
      <c r="O14" s="20" t="s">
        <v>44</v>
      </c>
    </row>
    <row r="15" spans="1:15" x14ac:dyDescent="0.3">
      <c r="A15" s="21" t="s">
        <v>45</v>
      </c>
      <c r="B15" s="22"/>
      <c r="C15" s="22"/>
      <c r="E15" s="7" t="s">
        <v>46</v>
      </c>
      <c r="F15" s="8">
        <v>20</v>
      </c>
      <c r="G15" s="8" t="s">
        <v>20</v>
      </c>
    </row>
    <row r="16" spans="1:15" x14ac:dyDescent="0.3">
      <c r="A16" s="7" t="s">
        <v>47</v>
      </c>
      <c r="B16" s="8">
        <v>5500</v>
      </c>
      <c r="C16" s="8" t="s">
        <v>20</v>
      </c>
      <c r="E16" s="7" t="s">
        <v>48</v>
      </c>
      <c r="F16" s="8">
        <v>15</v>
      </c>
      <c r="G16" s="8" t="s">
        <v>20</v>
      </c>
      <c r="I16" s="13" t="s">
        <v>32</v>
      </c>
      <c r="J16" s="14"/>
      <c r="K16" s="14"/>
      <c r="M16" s="13" t="s">
        <v>49</v>
      </c>
      <c r="N16" s="14"/>
      <c r="O16" s="14"/>
    </row>
    <row r="17" spans="1:15" x14ac:dyDescent="0.3">
      <c r="A17" s="7" t="s">
        <v>50</v>
      </c>
      <c r="B17" s="8">
        <v>7500</v>
      </c>
      <c r="C17" s="8" t="s">
        <v>20</v>
      </c>
      <c r="I17" s="7" t="s">
        <v>51</v>
      </c>
      <c r="J17" s="8">
        <v>20</v>
      </c>
      <c r="K17" s="8" t="s">
        <v>52</v>
      </c>
      <c r="M17" s="7" t="s">
        <v>53</v>
      </c>
      <c r="N17" s="8">
        <v>25000</v>
      </c>
      <c r="O17" s="8" t="s">
        <v>54</v>
      </c>
    </row>
    <row r="18" spans="1:15" x14ac:dyDescent="0.3">
      <c r="A18" s="7" t="s">
        <v>55</v>
      </c>
      <c r="B18" s="8">
        <v>15000</v>
      </c>
      <c r="C18" s="8" t="s">
        <v>20</v>
      </c>
      <c r="E18" s="13" t="s">
        <v>32</v>
      </c>
      <c r="F18" s="14"/>
      <c r="G18" s="14"/>
      <c r="I18" s="7" t="s">
        <v>56</v>
      </c>
      <c r="J18" s="8">
        <v>25</v>
      </c>
      <c r="K18" s="8" t="s">
        <v>15</v>
      </c>
      <c r="M18" s="7" t="s">
        <v>57</v>
      </c>
      <c r="N18" s="8">
        <v>75000</v>
      </c>
      <c r="O18" s="8" t="s">
        <v>11</v>
      </c>
    </row>
    <row r="19" spans="1:15" x14ac:dyDescent="0.3">
      <c r="A19" s="7" t="s">
        <v>58</v>
      </c>
      <c r="B19" s="8">
        <v>25000</v>
      </c>
      <c r="C19" s="8" t="s">
        <v>20</v>
      </c>
      <c r="E19" s="7" t="s">
        <v>59</v>
      </c>
      <c r="F19" s="8">
        <v>20</v>
      </c>
      <c r="G19" s="8" t="s">
        <v>20</v>
      </c>
      <c r="I19" s="7" t="s">
        <v>60</v>
      </c>
      <c r="J19" s="8">
        <v>10</v>
      </c>
      <c r="K19" s="8" t="s">
        <v>52</v>
      </c>
    </row>
    <row r="20" spans="1:15" x14ac:dyDescent="0.3">
      <c r="A20" s="7" t="s">
        <v>61</v>
      </c>
      <c r="B20" s="8">
        <v>15000</v>
      </c>
      <c r="C20" s="8" t="s">
        <v>54</v>
      </c>
      <c r="E20" s="7" t="s">
        <v>62</v>
      </c>
      <c r="F20" s="8">
        <v>70</v>
      </c>
      <c r="G20" s="8" t="s">
        <v>20</v>
      </c>
      <c r="I20" s="7" t="s">
        <v>63</v>
      </c>
      <c r="J20" s="8">
        <v>20</v>
      </c>
      <c r="K20" s="8" t="s">
        <v>52</v>
      </c>
      <c r="M20" s="13" t="s">
        <v>64</v>
      </c>
      <c r="N20" s="14"/>
      <c r="O20" s="14"/>
    </row>
    <row r="21" spans="1:15" x14ac:dyDescent="0.3">
      <c r="A21" s="7" t="s">
        <v>65</v>
      </c>
      <c r="B21" s="8">
        <v>5000</v>
      </c>
      <c r="C21" s="8" t="s">
        <v>54</v>
      </c>
      <c r="E21" s="7" t="s">
        <v>66</v>
      </c>
      <c r="F21" s="8">
        <v>30</v>
      </c>
      <c r="G21" s="8" t="s">
        <v>15</v>
      </c>
      <c r="M21" s="7" t="s">
        <v>67</v>
      </c>
      <c r="N21" s="8">
        <v>25000</v>
      </c>
      <c r="O21" s="8" t="s">
        <v>54</v>
      </c>
    </row>
    <row r="22" spans="1:15" x14ac:dyDescent="0.3">
      <c r="A22" s="7" t="s">
        <v>68</v>
      </c>
      <c r="B22" s="8">
        <v>100</v>
      </c>
      <c r="C22" s="8" t="s">
        <v>52</v>
      </c>
      <c r="E22" s="7" t="s">
        <v>69</v>
      </c>
      <c r="F22" s="8">
        <v>60</v>
      </c>
      <c r="G22" s="8" t="s">
        <v>20</v>
      </c>
      <c r="I22" s="21" t="s">
        <v>45</v>
      </c>
      <c r="J22" s="22"/>
      <c r="K22" s="22"/>
    </row>
    <row r="23" spans="1:15" x14ac:dyDescent="0.3">
      <c r="E23" s="7" t="s">
        <v>70</v>
      </c>
      <c r="F23" s="8">
        <v>10</v>
      </c>
      <c r="G23" s="8" t="s">
        <v>52</v>
      </c>
      <c r="I23" s="7" t="s">
        <v>71</v>
      </c>
      <c r="J23" s="8">
        <v>12500</v>
      </c>
      <c r="K23" s="8" t="s">
        <v>20</v>
      </c>
    </row>
    <row r="24" spans="1:15" x14ac:dyDescent="0.3">
      <c r="A24" s="13" t="s">
        <v>72</v>
      </c>
      <c r="B24" s="14"/>
      <c r="C24" s="14"/>
      <c r="E24" s="7" t="s">
        <v>73</v>
      </c>
      <c r="F24" s="8">
        <v>15</v>
      </c>
      <c r="G24" s="8" t="s">
        <v>52</v>
      </c>
      <c r="I24" s="7" t="s">
        <v>74</v>
      </c>
      <c r="J24" s="8">
        <v>2500</v>
      </c>
      <c r="K24" s="8" t="s">
        <v>52</v>
      </c>
    </row>
    <row r="25" spans="1:15" x14ac:dyDescent="0.3">
      <c r="A25" s="7" t="s">
        <v>75</v>
      </c>
      <c r="B25" s="8">
        <v>-25000</v>
      </c>
      <c r="C25" s="8" t="s">
        <v>11</v>
      </c>
      <c r="I25" s="7" t="s">
        <v>76</v>
      </c>
      <c r="J25" s="8">
        <v>10000</v>
      </c>
      <c r="K25" s="8" t="s">
        <v>15</v>
      </c>
    </row>
    <row r="27" spans="1:15" x14ac:dyDescent="0.3">
      <c r="I27" s="13" t="s">
        <v>72</v>
      </c>
      <c r="J27" s="14"/>
      <c r="K27" s="14"/>
    </row>
    <row r="28" spans="1:15" x14ac:dyDescent="0.3">
      <c r="I28" s="7" t="s">
        <v>77</v>
      </c>
      <c r="J28" s="8">
        <v>-25000</v>
      </c>
      <c r="K28" s="8" t="s">
        <v>11</v>
      </c>
    </row>
    <row r="29" spans="1:15" x14ac:dyDescent="0.3">
      <c r="I29" s="7" t="s">
        <v>78</v>
      </c>
      <c r="J29" s="8">
        <v>-50000</v>
      </c>
      <c r="K29" s="8" t="s">
        <v>11</v>
      </c>
    </row>
  </sheetData>
  <mergeCells count="19">
    <mergeCell ref="A15:C15"/>
    <mergeCell ref="A24:C24"/>
    <mergeCell ref="A11:C11"/>
    <mergeCell ref="A1:C1"/>
    <mergeCell ref="I27:K27"/>
    <mergeCell ref="E4:G4"/>
    <mergeCell ref="A8:C8"/>
    <mergeCell ref="M8:O8"/>
    <mergeCell ref="I4:K4"/>
    <mergeCell ref="A4:C4"/>
    <mergeCell ref="I10:K10"/>
    <mergeCell ref="M4:O4"/>
    <mergeCell ref="I16:K16"/>
    <mergeCell ref="E13:G13"/>
    <mergeCell ref="I22:K22"/>
    <mergeCell ref="M16:O16"/>
    <mergeCell ref="M12:O12"/>
    <mergeCell ref="E18:G18"/>
    <mergeCell ref="M20:O20"/>
  </mergeCells>
  <dataValidations count="1">
    <dataValidation type="list" allowBlank="1" sqref="C9 C12 C13 C16 C17 C18 C19 C20 C21 C22 G14 G15 G16 G19 G20 G21 G22 G23 G24 K11 K12 K13 K14 K17 K18 K19 K20 K23 K24 K25 O5 O6 O9 O10 O13 O14 O17 O18 O21" xr:uid="{00000000-0002-0000-0000-000000000000}">
      <formula1>"1 час,12 часов,24 часа,Неделя,Рандом"</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30"/>
  <sheetViews>
    <sheetView workbookViewId="0"/>
  </sheetViews>
  <sheetFormatPr defaultRowHeight="14.4" x14ac:dyDescent="0.3"/>
  <cols>
    <col min="1" max="1" width="32" customWidth="1"/>
    <col min="2" max="2" width="10" customWidth="1"/>
    <col min="3" max="3" width="12" customWidth="1"/>
    <col min="5" max="5" width="32" customWidth="1"/>
    <col min="6" max="6" width="10" customWidth="1"/>
    <col min="7" max="7" width="12" customWidth="1"/>
    <col min="9" max="9" width="32" customWidth="1"/>
    <col min="10" max="10" width="10" customWidth="1"/>
    <col min="11" max="11" width="12" customWidth="1"/>
    <col min="13" max="13" width="32" customWidth="1"/>
    <col min="14" max="14" width="10" customWidth="1"/>
    <col min="15" max="15" width="12" customWidth="1"/>
    <col min="17" max="18" width="15" customWidth="1"/>
  </cols>
  <sheetData>
    <row r="1" spans="1:18" x14ac:dyDescent="0.3">
      <c r="A1" s="17" t="s">
        <v>79</v>
      </c>
      <c r="B1" s="16"/>
      <c r="C1" s="18">
        <f>SUM(R3:R6)</f>
        <v>0</v>
      </c>
      <c r="D1" s="16"/>
    </row>
    <row r="2" spans="1:18" x14ac:dyDescent="0.3">
      <c r="A2" s="16"/>
      <c r="B2" s="16"/>
      <c r="C2" s="16"/>
      <c r="D2" s="16"/>
      <c r="Q2" s="3" t="s">
        <v>80</v>
      </c>
      <c r="R2" s="3" t="s">
        <v>81</v>
      </c>
    </row>
    <row r="3" spans="1:18" x14ac:dyDescent="0.3">
      <c r="Q3" s="9" t="s">
        <v>82</v>
      </c>
      <c r="R3" s="10">
        <f>SUM(C6,C7,C10,C13,C14,C17,C18,C19,C20,C21,C22,C23,C26)</f>
        <v>0</v>
      </c>
    </row>
    <row r="4" spans="1:18" x14ac:dyDescent="0.3">
      <c r="A4" s="3" t="s">
        <v>2</v>
      </c>
      <c r="B4" s="3" t="s">
        <v>83</v>
      </c>
      <c r="C4" s="3" t="s">
        <v>84</v>
      </c>
      <c r="E4" s="4" t="s">
        <v>5</v>
      </c>
      <c r="F4" s="4" t="s">
        <v>83</v>
      </c>
      <c r="G4" s="4" t="s">
        <v>84</v>
      </c>
      <c r="I4" s="5" t="s">
        <v>6</v>
      </c>
      <c r="J4" s="5" t="s">
        <v>83</v>
      </c>
      <c r="K4" s="5" t="s">
        <v>84</v>
      </c>
      <c r="M4" s="6" t="s">
        <v>7</v>
      </c>
      <c r="N4" s="6" t="s">
        <v>83</v>
      </c>
      <c r="O4" s="6" t="s">
        <v>84</v>
      </c>
      <c r="Q4" s="9" t="s">
        <v>85</v>
      </c>
      <c r="R4" s="10">
        <f>SUM(G6,G7,G8,G9,G10,G11,G12,G15,G16,G17,G20,G21,G22,G23,G24,G25)</f>
        <v>0</v>
      </c>
    </row>
    <row r="5" spans="1:18" x14ac:dyDescent="0.3">
      <c r="A5" s="13" t="s">
        <v>8</v>
      </c>
      <c r="B5" s="14"/>
      <c r="C5" s="14"/>
      <c r="E5" s="13" t="s">
        <v>8</v>
      </c>
      <c r="F5" s="14"/>
      <c r="G5" s="14"/>
      <c r="I5" s="13" t="s">
        <v>8</v>
      </c>
      <c r="J5" s="14"/>
      <c r="K5" s="14"/>
      <c r="M5" s="13" t="s">
        <v>9</v>
      </c>
      <c r="N5" s="14"/>
      <c r="O5" s="14"/>
      <c r="Q5" s="9" t="s">
        <v>86</v>
      </c>
      <c r="R5" s="10">
        <f>SUM(K6,K7,K8,K9,K12,K13,K14,K15,K18,K19,K20,K21,K24,K25,K26,K29,K30)</f>
        <v>0</v>
      </c>
    </row>
    <row r="6" spans="1:18" x14ac:dyDescent="0.3">
      <c r="A6" s="7" t="str">
        <f>Настройки!A5</f>
        <v>Текст (сообщение)</v>
      </c>
      <c r="B6" s="11">
        <v>0</v>
      </c>
      <c r="C6" s="12">
        <f>B6 * Настройки!B5 * Настройки!$D$1</f>
        <v>0</v>
      </c>
      <c r="E6" s="7" t="str">
        <f>Настройки!E5</f>
        <v>Фото</v>
      </c>
      <c r="F6" s="11">
        <v>0</v>
      </c>
      <c r="G6" s="12">
        <f>F6 * Настройки!F5 * Настройки!$D$1</f>
        <v>0</v>
      </c>
      <c r="I6" s="7" t="str">
        <f>Настройки!I5</f>
        <v>Ответ (ты ответил)</v>
      </c>
      <c r="J6" s="11">
        <v>0</v>
      </c>
      <c r="K6" s="12">
        <f>J6 * Настройки!J5 * Настройки!$D$1</f>
        <v>0</v>
      </c>
      <c r="M6" s="7" t="str">
        <f>Настройки!M5</f>
        <v>Без спойлеров (КиноON)</v>
      </c>
      <c r="N6" s="11">
        <v>0</v>
      </c>
      <c r="O6" s="12">
        <f>N6 * Настройки!N5 * Настройки!$D$1</f>
        <v>0</v>
      </c>
      <c r="Q6" s="9" t="s">
        <v>87</v>
      </c>
      <c r="R6" s="10">
        <f>SUM(O6,O7,O10,O11,O14,O15,O18,O19,O22)</f>
        <v>0</v>
      </c>
    </row>
    <row r="7" spans="1:18" x14ac:dyDescent="0.3">
      <c r="A7" s="7" t="str">
        <f>Настройки!A6</f>
        <v>Эмодзи (без текста)</v>
      </c>
      <c r="B7" s="11">
        <v>0</v>
      </c>
      <c r="C7" s="12">
        <f>B7 * Настройки!B6 * Настройки!$D$1</f>
        <v>0</v>
      </c>
      <c r="E7" s="7" t="str">
        <f>Настройки!E6</f>
        <v>Фото (2+ в спец. ветке)</v>
      </c>
      <c r="F7" s="11">
        <v>0</v>
      </c>
      <c r="G7" s="12">
        <f>F7 * Настройки!F6 * Настройки!$D$1</f>
        <v>0</v>
      </c>
      <c r="I7" s="7" t="str">
        <f>Настройки!I6</f>
        <v>Ответ (тебе ответили)</v>
      </c>
      <c r="J7" s="11">
        <v>0</v>
      </c>
      <c r="K7" s="12">
        <f>J7 * Настройки!J6 * Настройки!$D$1</f>
        <v>0</v>
      </c>
      <c r="M7" s="7" t="str">
        <f>Настройки!M6</f>
        <v>Организатор (Встречи)</v>
      </c>
      <c r="N7" s="11">
        <v>0</v>
      </c>
      <c r="O7" s="12">
        <f>N7 * Настройки!N6 * Настройки!$D$1</f>
        <v>0</v>
      </c>
    </row>
    <row r="8" spans="1:18" x14ac:dyDescent="0.3">
      <c r="E8" s="7" t="str">
        <f>Настройки!E7</f>
        <v>Видео обычное</v>
      </c>
      <c r="F8" s="11">
        <v>0</v>
      </c>
      <c r="G8" s="12">
        <f>F8 * Настройки!F7 * Настройки!$D$1</f>
        <v>0</v>
      </c>
      <c r="I8" s="7" t="str">
        <f>Настройки!I7</f>
        <v>Лайк (ты поставил)</v>
      </c>
      <c r="J8" s="11">
        <v>0</v>
      </c>
      <c r="K8" s="12">
        <f>J8 * Настройки!J7 * Настройки!$D$1</f>
        <v>0</v>
      </c>
    </row>
    <row r="9" spans="1:18" x14ac:dyDescent="0.3">
      <c r="A9" s="13" t="s">
        <v>23</v>
      </c>
      <c r="B9" s="14"/>
      <c r="C9" s="14"/>
      <c r="E9" s="7" t="str">
        <f>Настройки!E8</f>
        <v>Видео кружок</v>
      </c>
      <c r="F9" s="11">
        <v>0</v>
      </c>
      <c r="G9" s="12">
        <f>F9 * Настройки!F8 * Настройки!$D$1</f>
        <v>0</v>
      </c>
      <c r="I9" s="7" t="str">
        <f>Настройки!I8</f>
        <v>Лайк (тебе поставили)</v>
      </c>
      <c r="J9" s="11">
        <v>0</v>
      </c>
      <c r="K9" s="12">
        <f>J9 * Настройки!J8 * Настройки!$D$1</f>
        <v>0</v>
      </c>
      <c r="M9" s="13" t="s">
        <v>26</v>
      </c>
      <c r="N9" s="14"/>
      <c r="O9" s="14"/>
    </row>
    <row r="10" spans="1:18" x14ac:dyDescent="0.3">
      <c r="A10" s="7" t="str">
        <f>Настройки!A9</f>
        <v>Писатель (&gt; 50 симв)</v>
      </c>
      <c r="B10" s="11">
        <v>0</v>
      </c>
      <c r="C10" s="12">
        <f>B10 * Настройки!B9 * Настройки!$D$1</f>
        <v>0</v>
      </c>
      <c r="E10" s="7" t="str">
        <f>Настройки!E9</f>
        <v>Аудио / Ссылка</v>
      </c>
      <c r="F10" s="11">
        <v>0</v>
      </c>
      <c r="G10" s="12">
        <f>F10 * Настройки!F9 * Настройки!$D$1</f>
        <v>0</v>
      </c>
      <c r="M10" s="7" t="str">
        <f>Настройки!M9</f>
        <v>Сбор Пати (ЗадротыON)</v>
      </c>
      <c r="N10" s="11">
        <v>0</v>
      </c>
      <c r="O10" s="12">
        <f>N10 * Настройки!N9 * Настройки!$D$1</f>
        <v>0</v>
      </c>
    </row>
    <row r="11" spans="1:18" x14ac:dyDescent="0.3">
      <c r="E11" s="7" t="str">
        <f>Настройки!E10</f>
        <v>Голосовое (Voice)</v>
      </c>
      <c r="F11" s="11">
        <v>0</v>
      </c>
      <c r="G11" s="12">
        <f>F11 * Настройки!F10 * Настройки!$D$1</f>
        <v>0</v>
      </c>
      <c r="I11" s="13" t="s">
        <v>23</v>
      </c>
      <c r="J11" s="14"/>
      <c r="K11" s="14"/>
      <c r="M11" s="7" t="str">
        <f>Настройки!M10</f>
        <v>Журналист (НьюзON)</v>
      </c>
      <c r="N11" s="11">
        <v>0</v>
      </c>
      <c r="O11" s="12">
        <f>N11 * Настройки!N10 * Настройки!$D$1</f>
        <v>0</v>
      </c>
    </row>
    <row r="12" spans="1:18" x14ac:dyDescent="0.3">
      <c r="A12" s="13" t="s">
        <v>32</v>
      </c>
      <c r="B12" s="14"/>
      <c r="C12" s="14"/>
      <c r="E12" s="7" t="str">
        <f>Настройки!E11</f>
        <v>GIF-анимация</v>
      </c>
      <c r="F12" s="11">
        <v>0</v>
      </c>
      <c r="G12" s="12">
        <f>F12 * Настройки!F11 * Настройки!$D$1</f>
        <v>0</v>
      </c>
      <c r="I12" s="7" t="str">
        <f>Настройки!I11</f>
        <v>Острый язычок (&gt;2 репостов)</v>
      </c>
      <c r="J12" s="11">
        <v>0</v>
      </c>
      <c r="K12" s="12">
        <f>J12 * Настройки!J11 * Настройки!$D$1</f>
        <v>0</v>
      </c>
    </row>
    <row r="13" spans="1:18" x14ac:dyDescent="0.3">
      <c r="A13" s="7" t="str">
        <f>Настройки!A12</f>
        <v>Основа чата (10 сообщ)</v>
      </c>
      <c r="B13" s="11">
        <v>0</v>
      </c>
      <c r="C13" s="12">
        <f>B13 * Настройки!B12 * Настройки!$D$1</f>
        <v>0</v>
      </c>
      <c r="I13" s="7" t="str">
        <f>Настройки!I12</f>
        <v>Вирусный пост (&gt;2 лайков)</v>
      </c>
      <c r="J13" s="11">
        <v>0</v>
      </c>
      <c r="K13" s="12">
        <f>J13 * Настройки!J12 * Настройки!$D$1</f>
        <v>0</v>
      </c>
      <c r="M13" s="13" t="s">
        <v>37</v>
      </c>
      <c r="N13" s="14"/>
      <c r="O13" s="14"/>
    </row>
    <row r="14" spans="1:18" x14ac:dyDescent="0.3">
      <c r="A14" s="7" t="str">
        <f>Настройки!A13</f>
        <v>Эмоциональный (10 эмодзи)</v>
      </c>
      <c r="B14" s="11">
        <v>0</v>
      </c>
      <c r="C14" s="12">
        <f>B14 * Настройки!B13 * Настройки!$D$1</f>
        <v>0</v>
      </c>
      <c r="E14" s="13" t="s">
        <v>23</v>
      </c>
      <c r="F14" s="14"/>
      <c r="G14" s="14"/>
      <c r="I14" s="7" t="str">
        <f>Настройки!I13</f>
        <v>Хит (4 лайка)</v>
      </c>
      <c r="J14" s="11">
        <v>0</v>
      </c>
      <c r="K14" s="12">
        <f>J14 * Настройки!J13 * Настройки!$D$1</f>
        <v>0</v>
      </c>
      <c r="M14" s="7" t="str">
        <f>Настройки!M13</f>
        <v>Ночной Дозор (ПлюсON)</v>
      </c>
      <c r="N14" s="11">
        <v>0</v>
      </c>
      <c r="O14" s="12">
        <f>N14 * Настройки!N13 * Настройки!$D$1</f>
        <v>0</v>
      </c>
    </row>
    <row r="15" spans="1:18" x14ac:dyDescent="0.3">
      <c r="E15" s="7" t="str">
        <f>Настройки!E14</f>
        <v>Иллюстратор (Текст+Фото)</v>
      </c>
      <c r="F15" s="11">
        <v>0</v>
      </c>
      <c r="G15" s="12">
        <f>F15 * Настройки!F14 * Настройки!$D$1</f>
        <v>0</v>
      </c>
      <c r="I15" s="7" t="str">
        <f>Настройки!I14</f>
        <v>Легенда (6+ лайков)</v>
      </c>
      <c r="J15" s="11">
        <v>0</v>
      </c>
      <c r="K15" s="12">
        <f>J15 * Настройки!J14 * Настройки!$D$1</f>
        <v>0</v>
      </c>
      <c r="M15" s="7" t="str">
        <f>Настройки!M14</f>
        <v>Сваха (BBS)</v>
      </c>
      <c r="N15" s="11">
        <v>0</v>
      </c>
      <c r="O15" s="12">
        <f>N15 * Настройки!N14 * Настройки!$D$1</f>
        <v>0</v>
      </c>
    </row>
    <row r="16" spans="1:18" x14ac:dyDescent="0.3">
      <c r="A16" s="13" t="s">
        <v>45</v>
      </c>
      <c r="B16" s="14"/>
      <c r="C16" s="14"/>
      <c r="E16" s="7" t="str">
        <f>Настройки!E15</f>
        <v>Рецензент (Видео+Текст)</v>
      </c>
      <c r="F16" s="11">
        <v>0</v>
      </c>
      <c r="G16" s="12">
        <f>F16 * Настройки!F15 * Настройки!$D$1</f>
        <v>0</v>
      </c>
    </row>
    <row r="17" spans="1:15" x14ac:dyDescent="0.3">
      <c r="A17" s="7" t="str">
        <f>Настройки!A16</f>
        <v>Магия чисел (11:11 и т.д.)</v>
      </c>
      <c r="B17" s="11">
        <v>0</v>
      </c>
      <c r="C17" s="12">
        <f>B17 * Настройки!B16 * Настройки!$D$1</f>
        <v>0</v>
      </c>
      <c r="E17" s="7" t="str">
        <f>Настройки!E16</f>
        <v>Диджей (Плейлист)</v>
      </c>
      <c r="F17" s="11">
        <v>0</v>
      </c>
      <c r="G17" s="12">
        <f>F17 * Настройки!F16 * Настройки!$D$1</f>
        <v>0</v>
      </c>
      <c r="I17" s="13" t="s">
        <v>32</v>
      </c>
      <c r="J17" s="14"/>
      <c r="K17" s="14"/>
      <c r="M17" s="13" t="s">
        <v>49</v>
      </c>
      <c r="N17" s="14"/>
      <c r="O17" s="14"/>
    </row>
    <row r="18" spans="1:15" x14ac:dyDescent="0.3">
      <c r="A18" s="7" t="str">
        <f>Настройки!A17</f>
        <v>Ранняя пташка (05:00)</v>
      </c>
      <c r="B18" s="11">
        <v>0</v>
      </c>
      <c r="C18" s="12">
        <f>B18 * Настройки!B17 * Настройки!$D$1</f>
        <v>0</v>
      </c>
      <c r="I18" s="7" t="str">
        <f>Настройки!I17</f>
        <v>Болтун (20 твоих ответов)</v>
      </c>
      <c r="J18" s="11">
        <v>0</v>
      </c>
      <c r="K18" s="12">
        <f>J18 * Настройки!J17 * Настройки!$D$1</f>
        <v>0</v>
      </c>
      <c r="M18" s="7" t="str">
        <f>Настройки!M17</f>
        <v>Резонанс Толпы (5 одинак. эмодзи)</v>
      </c>
      <c r="N18" s="11">
        <v>0</v>
      </c>
      <c r="O18" s="12">
        <f>N18 * Настройки!N17 * Настройки!$D$1</f>
        <v>0</v>
      </c>
    </row>
    <row r="19" spans="1:15" x14ac:dyDescent="0.3">
      <c r="A19" s="7" t="str">
        <f>Настройки!A18</f>
        <v>Лев Толстой (&gt;1000 симв)</v>
      </c>
      <c r="B19" s="11">
        <v>0</v>
      </c>
      <c r="C19" s="12">
        <f>B19 * Настройки!B18 * Настройки!$D$1</f>
        <v>0</v>
      </c>
      <c r="E19" s="13" t="s">
        <v>32</v>
      </c>
      <c r="F19" s="14"/>
      <c r="G19" s="14"/>
      <c r="I19" s="7" t="str">
        <f>Настройки!I18</f>
        <v>Центр (20 ответов тебе)</v>
      </c>
      <c r="J19" s="11">
        <v>0</v>
      </c>
      <c r="K19" s="12">
        <f>J19 * Настройки!J18 * Настройки!$D$1</f>
        <v>0</v>
      </c>
      <c r="M19" s="7" t="str">
        <f>Настройки!M18</f>
        <v>Разрыв Интернета (15 лайков)</v>
      </c>
      <c r="N19" s="11">
        <v>0</v>
      </c>
      <c r="O19" s="12">
        <f>N19 * Настройки!N18 * Настройки!$D$1</f>
        <v>0</v>
      </c>
    </row>
    <row r="20" spans="1:15" x14ac:dyDescent="0.3">
      <c r="A20" s="7" t="str">
        <f>Настройки!A19</f>
        <v>Юбилейное сообщение</v>
      </c>
      <c r="B20" s="11">
        <v>0</v>
      </c>
      <c r="C20" s="12">
        <f>B20 * Настройки!B19 * Настройки!$D$1</f>
        <v>0</v>
      </c>
      <c r="E20" s="7" t="str">
        <f>Настройки!E19</f>
        <v>Фотограф (3+ фото)</v>
      </c>
      <c r="F20" s="11">
        <v>0</v>
      </c>
      <c r="G20" s="12">
        <f>F20 * Настройки!F19 * Настройки!$D$1</f>
        <v>0</v>
      </c>
      <c r="I20" s="7" t="str">
        <f>Настройки!I19</f>
        <v>Щедрая душа (5 лайков)</v>
      </c>
      <c r="J20" s="11">
        <v>0</v>
      </c>
      <c r="K20" s="12">
        <f>J20 * Настройки!J19 * Настройки!$D$1</f>
        <v>0</v>
      </c>
    </row>
    <row r="21" spans="1:15" x14ac:dyDescent="0.3">
      <c r="A21" s="7" t="str">
        <f>Настройки!A20</f>
        <v>Резонанс (Секретное слово)</v>
      </c>
      <c r="B21" s="11">
        <v>0</v>
      </c>
      <c r="C21" s="12">
        <f>B21 * Настройки!B20 * Настройки!$D$1</f>
        <v>0</v>
      </c>
      <c r="E21" s="7" t="str">
        <f>Настройки!E20</f>
        <v>Режиссер (2 видео)</v>
      </c>
      <c r="F21" s="11">
        <v>0</v>
      </c>
      <c r="G21" s="12">
        <f>F21 * Настройки!F20 * Настройки!$D$1</f>
        <v>0</v>
      </c>
      <c r="I21" s="7" t="str">
        <f>Настройки!I20</f>
        <v>Любимчик (10 лайков тебе)</v>
      </c>
      <c r="J21" s="11">
        <v>0</v>
      </c>
      <c r="K21" s="12">
        <f>J21 * Настройки!J20 * Настройки!$D$1</f>
        <v>0</v>
      </c>
      <c r="M21" s="13" t="s">
        <v>64</v>
      </c>
      <c r="N21" s="14"/>
      <c r="O21" s="14"/>
    </row>
    <row r="22" spans="1:15" x14ac:dyDescent="0.3">
      <c r="A22" s="7" t="str">
        <f>Настройки!A21</f>
        <v>Критический удар (Шанс 2%)</v>
      </c>
      <c r="B22" s="11">
        <v>0</v>
      </c>
      <c r="C22" s="12">
        <f>B22 * Настройки!B21 * Настройки!$D$1</f>
        <v>0</v>
      </c>
      <c r="E22" s="7" t="str">
        <f>Настройки!E21</f>
        <v>Лицом торгуешь (5 кружков)</v>
      </c>
      <c r="F22" s="11">
        <v>0</v>
      </c>
      <c r="G22" s="12">
        <f>F22 * Настройки!F21 * Настройки!$D$1</f>
        <v>0</v>
      </c>
      <c r="M22" s="7" t="str">
        <f>Настройки!M21</f>
        <v>Поимка Золотой Лягушки</v>
      </c>
      <c r="N22" s="11">
        <v>0</v>
      </c>
      <c r="O22" s="12">
        <f>N22 * Настройки!N21 * Настройки!$D$1</f>
        <v>0</v>
      </c>
    </row>
    <row r="23" spans="1:15" x14ac:dyDescent="0.3">
      <c r="A23" s="7" t="str">
        <f>Настройки!A22</f>
        <v>Амбассадор вежливости</v>
      </c>
      <c r="B23" s="11">
        <v>0</v>
      </c>
      <c r="C23" s="12">
        <f>B23 * Настройки!B22 * Настройки!$D$1</f>
        <v>0</v>
      </c>
      <c r="E23" s="7" t="str">
        <f>Настройки!E22</f>
        <v>Меломан (5 треков)</v>
      </c>
      <c r="F23" s="11">
        <v>0</v>
      </c>
      <c r="G23" s="12">
        <f>F23 * Настройки!F22 * Настройки!$D$1</f>
        <v>0</v>
      </c>
      <c r="I23" s="13" t="s">
        <v>45</v>
      </c>
      <c r="J23" s="14"/>
      <c r="K23" s="14"/>
    </row>
    <row r="24" spans="1:15" x14ac:dyDescent="0.3">
      <c r="E24" s="7" t="str">
        <f>Настройки!E23</f>
        <v>Радио (4 войса)</v>
      </c>
      <c r="F24" s="11">
        <v>0</v>
      </c>
      <c r="G24" s="12">
        <f>F24 * Настройки!F23 * Настройки!$D$1</f>
        <v>0</v>
      </c>
      <c r="I24" s="7" t="str">
        <f>Настройки!I23</f>
        <v>Хлеб-соль (Ответ новичку)</v>
      </c>
      <c r="J24" s="11">
        <v>0</v>
      </c>
      <c r="K24" s="12">
        <f>J24 * Настройки!J23 * Настройки!$D$1</f>
        <v>0</v>
      </c>
    </row>
    <row r="25" spans="1:15" x14ac:dyDescent="0.3">
      <c r="A25" s="13" t="s">
        <v>72</v>
      </c>
      <c r="B25" s="14"/>
      <c r="C25" s="14"/>
      <c r="E25" s="7" t="str">
        <f>Настройки!E24</f>
        <v>Гифошная (10 гиф)</v>
      </c>
      <c r="F25" s="11">
        <v>0</v>
      </c>
      <c r="G25" s="12">
        <f>F25 * Настройки!F24 * Настройки!$D$1</f>
        <v>0</v>
      </c>
      <c r="I25" s="7" t="str">
        <f>Настройки!I24</f>
        <v>Пинг-понг (Ответ &lt; 10 сек)</v>
      </c>
      <c r="J25" s="11">
        <v>0</v>
      </c>
      <c r="K25" s="12">
        <f>J25 * Настройки!J24 * Настройки!$D$1</f>
        <v>0</v>
      </c>
    </row>
    <row r="26" spans="1:15" x14ac:dyDescent="0.3">
      <c r="A26" s="7" t="str">
        <f>Настройки!A25</f>
        <v>Копипаст</v>
      </c>
      <c r="B26" s="11">
        <v>0</v>
      </c>
      <c r="C26" s="12">
        <f>B26 * Настройки!B25 * Настройки!$D$1</f>
        <v>0</v>
      </c>
      <c r="I26" s="7" t="str">
        <f>Настройки!I25</f>
        <v>Некромант (Ответ на пост &gt;48ч)</v>
      </c>
      <c r="J26" s="11">
        <v>0</v>
      </c>
      <c r="K26" s="12">
        <f>J26 * Настройки!J25 * Настройки!$D$1</f>
        <v>0</v>
      </c>
    </row>
    <row r="28" spans="1:15" x14ac:dyDescent="0.3">
      <c r="I28" s="13" t="s">
        <v>72</v>
      </c>
      <c r="J28" s="14"/>
      <c r="K28" s="14"/>
    </row>
    <row r="29" spans="1:15" x14ac:dyDescent="0.3">
      <c r="I29" s="7" t="str">
        <f>Настройки!I28</f>
        <v>Не в ту дверь (Нарушение)</v>
      </c>
      <c r="J29" s="11">
        <v>0</v>
      </c>
      <c r="K29" s="12">
        <f>J29 * Настройки!J28 * Настройки!$D$1</f>
        <v>0</v>
      </c>
    </row>
    <row r="30" spans="1:15" x14ac:dyDescent="0.3">
      <c r="I30" s="7" t="str">
        <f>Настройки!I29</f>
        <v>Удаление (Токсик)</v>
      </c>
      <c r="J30" s="11">
        <v>0</v>
      </c>
      <c r="K30" s="12">
        <f>J30 * Настройки!J29 * Настройки!$D$1</f>
        <v>0</v>
      </c>
    </row>
  </sheetData>
  <mergeCells count="20">
    <mergeCell ref="A1:B2"/>
    <mergeCell ref="I11:K11"/>
    <mergeCell ref="E14:G14"/>
    <mergeCell ref="E5:G5"/>
    <mergeCell ref="C1:D2"/>
    <mergeCell ref="A5:C5"/>
    <mergeCell ref="I5:K5"/>
    <mergeCell ref="I23:K23"/>
    <mergeCell ref="M17:O17"/>
    <mergeCell ref="I17:K17"/>
    <mergeCell ref="A9:C9"/>
    <mergeCell ref="M9:O9"/>
    <mergeCell ref="M5:O5"/>
    <mergeCell ref="A16:C16"/>
    <mergeCell ref="A25:C25"/>
    <mergeCell ref="E19:G19"/>
    <mergeCell ref="I28:K28"/>
    <mergeCell ref="M13:O13"/>
    <mergeCell ref="A12:C12"/>
    <mergeCell ref="M21:O21"/>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vt:i4>
      </vt:variant>
    </vt:vector>
  </HeadingPairs>
  <TitlesOfParts>
    <vt:vector size="2" baseType="lpstr">
      <vt:lpstr>Настройки</vt:lpstr>
      <vt:lpstr>Симулятор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илья клименко</cp:lastModifiedBy>
  <dcterms:created xsi:type="dcterms:W3CDTF">2026-03-20T05:51:43Z</dcterms:created>
  <dcterms:modified xsi:type="dcterms:W3CDTF">2026-03-20T05:54:03Z</dcterms:modified>
</cp:coreProperties>
</file>